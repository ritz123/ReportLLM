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comments11.xml" ContentType="application/vnd.openxmlformats-officedocument.spreadsheetml.comments+xml"/>
  <Override PartName="/xl/comments10.xml" ContentType="application/vnd.openxmlformats-officedocument.spreadsheetml.comments+xml"/>
  <Override PartName="/xl/comments12.xml" ContentType="application/vnd.openxmlformats-officedocument.spreadsheetml.comments+xml"/>
  <Override PartName="/xl/comments20.xml" ContentType="application/vnd.openxmlformats-officedocument.spreadsheetml.comments+xml"/>
  <Override PartName="/xl/comments19.xml" ContentType="application/vnd.openxmlformats-officedocument.spreadsheetml.comments+xml"/>
  <Override PartName="/xl/comments9.xml" ContentType="application/vnd.openxmlformats-officedocument.spreadsheetml.comments+xml"/>
  <Override PartName="/xl/comments17.xml" ContentType="application/vnd.openxmlformats-officedocument.spreadsheetml.comments+xml"/>
  <Override PartName="/xl/workbook.xml" ContentType="application/vnd.openxmlformats-officedocument.spreadsheetml.sheet.main+xml"/>
  <Override PartName="/xl/comments16.xml" ContentType="application/vnd.openxmlformats-officedocument.spreadsheetml.comments+xml"/>
  <Override PartName="/xl/styles.xml" ContentType="application/vnd.openxmlformats-officedocument.spreadsheetml.style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10.vml" ContentType="application/vnd.openxmlformats-officedocument.vmlDrawing"/>
  <Override PartName="/xl/drawings/vmlDrawing6.vml" ContentType="application/vnd.openxmlformats-officedocument.vmlDrawing"/>
  <Override PartName="/xl/drawings/vmlDrawing11.vml" ContentType="application/vnd.openxmlformats-officedocument.vmlDrawing"/>
  <Override PartName="/xl/drawings/vmlDrawing7.vml" ContentType="application/vnd.openxmlformats-officedocument.vmlDrawing"/>
  <Override PartName="/xl/drawings/vmlDrawing12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comments38.xml" ContentType="application/vnd.openxmlformats-officedocument.spreadsheetml.comment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9.xml.rels" ContentType="application/vnd.openxmlformats-package.relationships+xml"/>
  <Override PartName="/xl/worksheets/_rels/sheet13.xml.rels" ContentType="application/vnd.openxmlformats-package.relationships+xml"/>
  <Override PartName="/xl/worksheets/_rels/sheet15.xml.rels" ContentType="application/vnd.openxmlformats-package.relationships+xml"/>
  <Override PartName="/xl/worksheets/_rels/sheet12.xml.rels" ContentType="application/vnd.openxmlformats-package.relationships+xml"/>
  <Override PartName="/xl/worksheets/_rels/sheet38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55.xml" ContentType="application/vnd.openxmlformats-officedocument.spreadsheetml.worksheet+xml"/>
  <Override PartName="/xl/worksheets/sheet47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1.xml" ContentType="application/vnd.openxmlformats-officedocument.spreadsheetml.worksheet+xml"/>
  <Override PartName="/xl/worksheets/sheet56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25.xml" ContentType="application/vnd.openxmlformats-officedocument.spreadsheetml.worksheet+xml"/>
  <Override PartName="/xl/worksheets/sheet4.xml" ContentType="application/vnd.openxmlformats-officedocument.spreadsheetml.worksheet+xml"/>
  <Override PartName="/xl/worksheets/sheet5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58.xml" ContentType="application/vnd.openxmlformats-officedocument.spreadsheetml.worksheet+xml"/>
  <Override PartName="/xl/worksheets/sheet21.xml" ContentType="application/vnd.openxmlformats-officedocument.spreadsheetml.worksheet+xml"/>
  <Override PartName="/xl/worksheets/sheet24.xml" ContentType="application/vnd.openxmlformats-officedocument.spreadsheetml.worksheet+xml"/>
  <Override PartName="/xl/worksheets/sheet19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sharedStrings.xml" ContentType="application/vnd.openxmlformats-officedocument.spreadsheetml.sharedStrings+xml"/>
  <Override PartName="/xl/comments1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5"/>
  </bookViews>
  <sheets>
    <sheet name="OCT 2021" sheetId="1" state="visible" r:id="rId2"/>
    <sheet name="NOV 2021" sheetId="2" state="hidden" r:id="rId3"/>
    <sheet name="DEC 2021" sheetId="3" state="hidden" r:id="rId4"/>
    <sheet name="Jan 2022" sheetId="4" state="hidden" r:id="rId5"/>
    <sheet name="Feb 2022" sheetId="5" state="hidden" r:id="rId6"/>
    <sheet name="Mar 2022" sheetId="6" state="hidden" r:id="rId7"/>
    <sheet name="April 2022" sheetId="7" state="hidden" r:id="rId8"/>
    <sheet name="May 2022" sheetId="8" state="hidden" r:id="rId9"/>
    <sheet name="June 2022" sheetId="9" state="hidden" r:id="rId10"/>
    <sheet name="July 2022" sheetId="10" state="hidden" r:id="rId11"/>
    <sheet name="Aug 2022" sheetId="11" state="hidden" r:id="rId12"/>
    <sheet name="Sep 2022" sheetId="12" state="hidden" r:id="rId13"/>
    <sheet name="Oct 2022" sheetId="13" state="hidden" r:id="rId14"/>
    <sheet name="NOV 2022" sheetId="14" state="hidden" r:id="rId15"/>
    <sheet name="DEC 2022" sheetId="15" state="hidden" r:id="rId16"/>
    <sheet name="JAN 2023" sheetId="16" state="hidden" r:id="rId17"/>
    <sheet name="FEB 2023" sheetId="17" state="hidden" r:id="rId18"/>
    <sheet name="March 2023" sheetId="18" state="hidden" r:id="rId19"/>
    <sheet name="April 2023" sheetId="19" state="hidden" r:id="rId20"/>
    <sheet name="May 2023" sheetId="20" state="hidden" r:id="rId21"/>
    <sheet name="June 2023" sheetId="21" state="hidden" r:id="rId22"/>
    <sheet name="July 2023" sheetId="22" state="hidden" r:id="rId23"/>
    <sheet name="Aug 2023" sheetId="23" state="hidden" r:id="rId24"/>
    <sheet name="Copy of Aug 2023" sheetId="24" state="hidden" r:id="rId25"/>
    <sheet name="Sheet19" sheetId="25" state="hidden" r:id="rId26"/>
    <sheet name="SEP 2023" sheetId="26" state="hidden" r:id="rId27"/>
    <sheet name="Sheet19_conflict72661679" sheetId="27" state="hidden" r:id="rId28"/>
    <sheet name="Nov 2023" sheetId="28" state="hidden" r:id="rId29"/>
    <sheet name="Dec 2023" sheetId="29" state="hidden" r:id="rId30"/>
    <sheet name="Jan 2024" sheetId="30" state="hidden" r:id="rId31"/>
    <sheet name="Feb 2024" sheetId="31" state="hidden" r:id="rId32"/>
    <sheet name="Mar 2024" sheetId="32" state="hidden" r:id="rId33"/>
    <sheet name="April 2024" sheetId="33" state="hidden" r:id="rId34"/>
    <sheet name="May 2024" sheetId="34" state="hidden" r:id="rId35"/>
    <sheet name="June 2024" sheetId="35" state="hidden" r:id="rId36"/>
    <sheet name="July 2024" sheetId="36" state="hidden" r:id="rId37"/>
    <sheet name="Aug 2024" sheetId="37" state="hidden" r:id="rId38"/>
    <sheet name="Jun 2026" sheetId="38" state="visible" r:id="rId39"/>
    <sheet name="May 2026" sheetId="39" state="visible" r:id="rId40"/>
    <sheet name="Apr 2026" sheetId="40" state="visible" r:id="rId41"/>
    <sheet name="Mar 2026" sheetId="41" state="visible" r:id="rId42"/>
    <sheet name="Feb 2026" sheetId="42" state="visible" r:id="rId43"/>
    <sheet name="Jan 2026" sheetId="43" state="visible" r:id="rId44"/>
    <sheet name="Dec 2025" sheetId="44" state="visible" r:id="rId45"/>
    <sheet name="Nov 2025" sheetId="45" state="visible" r:id="rId46"/>
    <sheet name="Oct 2025" sheetId="46" state="visible" r:id="rId47"/>
    <sheet name="Sept 2025" sheetId="47" state="visible" r:id="rId48"/>
    <sheet name="Aug 2025" sheetId="48" state="visible" r:id="rId49"/>
    <sheet name="Jul 2025" sheetId="49" state="visible" r:id="rId50"/>
    <sheet name="June 2025" sheetId="50" state="visible" r:id="rId51"/>
    <sheet name="May 2025" sheetId="51" state="visible" r:id="rId52"/>
    <sheet name="Apr 2025" sheetId="52" state="visible" r:id="rId53"/>
    <sheet name="Mar 2025" sheetId="53" state="visible" r:id="rId54"/>
    <sheet name="Feb 2025" sheetId="54" state="visible" r:id="rId55"/>
    <sheet name="Jan 2025" sheetId="55" state="visible" r:id="rId56"/>
    <sheet name="Sept 2024" sheetId="56" state="visible" r:id="rId57"/>
    <sheet name="Oct 2024" sheetId="57" state="visible" r:id="rId58"/>
    <sheet name="Nov 2024" sheetId="58" state="visible" r:id="rId59"/>
    <sheet name="Dec 2024" sheetId="59" state="visible" r:id="rId60"/>
    <sheet name="AMC" sheetId="60" state="visible" r:id="rId61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9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6" authorId="0">
      <text>
        <r>
          <rPr>
            <sz val="10"/>
            <color rgb="FF000000"/>
            <rFont val="Arial"/>
            <family val="0"/>
            <charset val="1"/>
          </rPr>
          <t xml:space="preserve">25148+3 convience charge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6" authorId="0">
      <text>
        <r>
          <rPr>
            <sz val="10"/>
            <color rgb="FF000000"/>
            <rFont val="Arial"/>
            <family val="0"/>
            <charset val="1"/>
          </rPr>
          <t xml:space="preserve">25148+3 convience charge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7" authorId="0">
      <text>
        <r>
          <rPr>
            <sz val="10"/>
            <color rgb="FF000000"/>
            <rFont val="Arial"/>
            <family val="0"/>
            <charset val="1"/>
          </rPr>
          <t xml:space="preserve">25148+3 convience charge</t>
        </r>
      </text>
    </comment>
    <comment ref="E9" authorId="0">
      <text>
        <r>
          <rPr>
            <sz val="10"/>
            <color rgb="FF000000"/>
            <rFont val="Arial"/>
            <family val="0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Nishant paid 2330 for Pooja items &amp; EB for meter connection, lift motherboard 2820.
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7" authorId="0">
      <text>
        <r>
          <rPr>
            <sz val="10"/>
            <color rgb="FF000000"/>
            <rFont val="Arial"/>
            <family val="0"/>
            <charset val="1"/>
          </rPr>
          <t xml:space="preserve">25148+3 convience charge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7" authorId="0">
      <text>
        <r>
          <rPr>
            <sz val="10"/>
            <color rgb="FF000000"/>
            <rFont val="Arial"/>
            <family val="0"/>
            <charset val="1"/>
          </rPr>
          <t xml:space="preserve">25148+3 convience charge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7" authorId="0">
      <text>
        <r>
          <rPr>
            <sz val="10"/>
            <color rgb="FF000000"/>
            <rFont val="Arial"/>
            <family val="0"/>
            <charset val="1"/>
          </rPr>
          <t xml:space="preserve">25148+3 convience charge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6" authorId="0">
      <text>
        <r>
          <rPr>
            <sz val="10"/>
            <color rgb="FF000000"/>
            <rFont val="Arial"/>
            <family val="0"/>
            <charset val="1"/>
          </rPr>
          <t xml:space="preserve">25148+3 convience charge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4" authorId="0">
      <text>
        <r>
          <rPr>
            <sz val="10"/>
            <color rgb="FF000000"/>
            <rFont val="Arial"/>
            <family val="0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Rs 1000/- {paid by Nishant as Advance)
</t>
        </r>
      </text>
    </comment>
    <comment ref="B4" authorId="0">
      <text>
        <r>
          <rPr>
            <sz val="10"/>
            <color rgb="FF000000"/>
            <rFont val="Arial"/>
            <family val="0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Rs 1000/- Paid in Advance
</t>
        </r>
      </text>
    </comment>
    <comment ref="B8" authorId="0">
      <text>
        <r>
          <rPr>
            <sz val="10"/>
            <color rgb="FF000000"/>
            <rFont val="Arial"/>
            <family val="0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Paid by Cash
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4" authorId="0">
      <text>
        <r>
          <rPr>
            <sz val="10"/>
            <color rgb="FF000000"/>
            <rFont val="Arial"/>
            <family val="0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2000 Paid Advance Last Month
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4" authorId="0">
      <text>
        <r>
          <rPr>
            <sz val="10"/>
            <color rgb="FF000000"/>
            <rFont val="Arial"/>
            <family val="0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Advance of 2000 was paid in March 2023
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5" authorId="0">
      <text>
        <r>
          <rPr>
            <sz val="10"/>
            <color rgb="FF000000"/>
            <rFont val="Arial"/>
            <family val="0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2000 advance given
</t>
        </r>
      </text>
    </comment>
  </commentList>
</comments>
</file>

<file path=xl/comments3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Rs 10,000/- Added to Bank Account
</t>
        </r>
      </text>
    </comment>
  </commentList>
</comments>
</file>

<file path=xl/sharedStrings.xml><?xml version="1.0" encoding="utf-8"?>
<sst xmlns="http://schemas.openxmlformats.org/spreadsheetml/2006/main" count="1665" uniqueCount="291">
  <si>
    <t xml:space="preserve">Balance from previous month -96 </t>
  </si>
  <si>
    <t xml:space="preserve">Security</t>
  </si>
  <si>
    <t xml:space="preserve">001 - Krishnan</t>
  </si>
  <si>
    <t xml:space="preserve">Garbage Collector</t>
  </si>
  <si>
    <t xml:space="preserve">002 - Mary</t>
  </si>
  <si>
    <t xml:space="preserve">Diesel (02/10)</t>
  </si>
  <si>
    <t xml:space="preserve">101 - Manish</t>
  </si>
  <si>
    <t xml:space="preserve">Tester (Raju). Its with Security</t>
  </si>
  <si>
    <t xml:space="preserve">102 - Prem</t>
  </si>
  <si>
    <t xml:space="preserve">Connector CCTV</t>
  </si>
  <si>
    <t xml:space="preserve">201 - Amit</t>
  </si>
  <si>
    <t xml:space="preserve">Terrace Cleaning </t>
  </si>
  <si>
    <t xml:space="preserve">202 - Biplab</t>
  </si>
  <si>
    <t xml:space="preserve">Festival Bonus</t>
  </si>
  <si>
    <t xml:space="preserve">301 - Nishant</t>
  </si>
  <si>
    <t xml:space="preserve">Water Bill</t>
  </si>
  <si>
    <t xml:space="preserve">302 - Siddharth</t>
  </si>
  <si>
    <t xml:space="preserve">Diesel  (16/10)</t>
  </si>
  <si>
    <t xml:space="preserve">Total</t>
  </si>
  <si>
    <t xml:space="preserve">Bescom Bill</t>
  </si>
  <si>
    <t xml:space="preserve">Raju CCTV Labour charges</t>
  </si>
  <si>
    <t xml:space="preserve">Raju Bescom</t>
  </si>
  <si>
    <t xml:space="preserve">Balance Carry Forwarded</t>
  </si>
  <si>
    <t xml:space="preserve">Misc [All out + Phenol+previous month balance]</t>
  </si>
  <si>
    <t xml:space="preserve">Diesel</t>
  </si>
  <si>
    <t xml:space="preserve">Garbage bag</t>
  </si>
  <si>
    <t xml:space="preserve">Balance from previous month 3356</t>
  </si>
  <si>
    <t xml:space="preserve">Raju Bescom Charges</t>
  </si>
  <si>
    <t xml:space="preserve">64KW Fuse at outside pole</t>
  </si>
  <si>
    <t xml:space="preserve">Bescom charge for fuse + Labour</t>
  </si>
  <si>
    <t xml:space="preserve">Secutity festival bonus (Diwali)</t>
  </si>
  <si>
    <t xml:space="preserve">Roof top glass repair</t>
  </si>
  <si>
    <t xml:space="preserve">Balance from previous month 1517</t>
  </si>
  <si>
    <t xml:space="preserve">Water bill</t>
  </si>
  <si>
    <t xml:space="preserve">Main Gate Switch</t>
  </si>
  <si>
    <t xml:space="preserve">Bescom</t>
  </si>
  <si>
    <t xml:space="preserve">CCTV socket adaptor (Security room (Amazon))</t>
  </si>
  <si>
    <t xml:space="preserve">Xerox building plan for OC</t>
  </si>
  <si>
    <t xml:space="preserve">Compond tree shaping</t>
  </si>
  <si>
    <t xml:space="preserve">Lift bulb</t>
  </si>
  <si>
    <t xml:space="preserve">Bescom charge</t>
  </si>
  <si>
    <t xml:space="preserve">Bleaching powder</t>
  </si>
  <si>
    <t xml:space="preserve">Sanitizer</t>
  </si>
  <si>
    <t xml:space="preserve">Main entrance tile fixing</t>
  </si>
  <si>
    <t xml:space="preserve">CCTV pin</t>
  </si>
  <si>
    <t xml:space="preserve">Main entrance stone lying</t>
  </si>
  <si>
    <t xml:space="preserve">Garbage bag + cleaning shampoo</t>
  </si>
  <si>
    <t xml:space="preserve">Date</t>
  </si>
  <si>
    <t xml:space="preserve">ci</t>
  </si>
  <si>
    <t xml:space="preserve">Garbage </t>
  </si>
  <si>
    <t xml:space="preserve">ca</t>
  </si>
  <si>
    <t xml:space="preserve">Diesel - BP INV 309598</t>
  </si>
  <si>
    <t xml:space="preserve">Tank Cleaning</t>
  </si>
  <si>
    <t xml:space="preserve">Wood Work Leak Proof - Roof Top Door and Stopper</t>
  </si>
  <si>
    <t xml:space="preserve">Carpenter Charges</t>
  </si>
  <si>
    <t xml:space="preserve">Water Bill - BWSSB</t>
  </si>
  <si>
    <t xml:space="preserve">Electricity Bill Taken (Processing Fee)</t>
  </si>
  <si>
    <t xml:space="preserve">Electricity Bill Payment Online</t>
  </si>
  <si>
    <t xml:space="preserve">Velu Electric Bill Processing</t>
  </si>
  <si>
    <t xml:space="preserve">Broom , Mop and Cloth for Cleaning</t>
  </si>
  <si>
    <t xml:space="preserve">Advance to Tara</t>
  </si>
  <si>
    <t xml:space="preserve">Balance</t>
  </si>
  <si>
    <t xml:space="preserve">TARA Security (Jan Month 1K more , Minus 500 Advance)</t>
  </si>
  <si>
    <t xml:space="preserve">Account</t>
  </si>
  <si>
    <t xml:space="preserve">Cash</t>
  </si>
  <si>
    <t xml:space="preserve">Water Bill BWSSB</t>
  </si>
  <si>
    <t xml:space="preserve">UPI</t>
  </si>
  <si>
    <t xml:space="preserve">Velu - EBILL Processing</t>
  </si>
  <si>
    <t xml:space="preserve">BESCOM Bill</t>
  </si>
  <si>
    <t xml:space="preserve">Pest Spray</t>
  </si>
  <si>
    <t xml:space="preserve">Tara Salary</t>
  </si>
  <si>
    <t xml:space="preserve">cash</t>
  </si>
  <si>
    <t xml:space="preserve">Garbage</t>
  </si>
  <si>
    <t xml:space="preserve">upi</t>
  </si>
  <si>
    <t xml:space="preserve">Cleaning Cloth and Trash Cover</t>
  </si>
  <si>
    <t xml:space="preserve">BWSSB Water Bill</t>
  </si>
  <si>
    <t xml:space="preserve">Electricity Bill</t>
  </si>
  <si>
    <t xml:space="preserve">Electricity fee paid to velu by Manish</t>
  </si>
  <si>
    <t xml:space="preserve">hdfc</t>
  </si>
  <si>
    <t xml:space="preserve">UPI citi</t>
  </si>
  <si>
    <t xml:space="preserve">upi-citi</t>
  </si>
  <si>
    <t xml:space="preserve">Colin</t>
  </si>
  <si>
    <t xml:space="preserve">Sqeezee Wiper</t>
  </si>
  <si>
    <t xml:space="preserve">upi citi</t>
  </si>
  <si>
    <t xml:space="preserve">Electricity Bill </t>
  </si>
  <si>
    <t xml:space="preserve">Electricity Bill  Generation Fees to Velu</t>
  </si>
  <si>
    <t xml:space="preserve">upi-hdfc</t>
  </si>
  <si>
    <t xml:space="preserve">Duplicate Key </t>
  </si>
  <si>
    <t xml:space="preserve">Paint(0.5L, 1L), Brush, Sand Paper</t>
  </si>
  <si>
    <t xml:space="preserve">Spider Broom</t>
  </si>
  <si>
    <t xml:space="preserve">Tara Fees for Painting</t>
  </si>
  <si>
    <t xml:space="preserve">mob stick</t>
  </si>
  <si>
    <t xml:space="preserve">tiner &amp; brush</t>
  </si>
  <si>
    <t xml:space="preserve">Diseal</t>
  </si>
  <si>
    <t xml:space="preserve">Paint - 2L</t>
  </si>
  <si>
    <t xml:space="preserve">Tiner</t>
  </si>
  <si>
    <t xml:space="preserve">Paint &amp; Brush - 1</t>
  </si>
  <si>
    <t xml:space="preserve">Tara Painting Charges</t>
  </si>
  <si>
    <t xml:space="preserve">Lizol and shampoo</t>
  </si>
  <si>
    <t xml:space="preserve">lights replacement in parking </t>
  </si>
  <si>
    <t xml:space="preserve">electrican charges</t>
  </si>
  <si>
    <t xml:space="preserve">Tara Salary Advance</t>
  </si>
  <si>
    <t xml:space="preserve">Tara Salary balance</t>
  </si>
  <si>
    <t xml:space="preserve">Diesel 15Ltrs</t>
  </si>
  <si>
    <t xml:space="preserve">Roof door latch &amp; labor</t>
  </si>
  <si>
    <t xml:space="preserve">Gardener</t>
  </si>
  <si>
    <t xml:space="preserve">Diesel 17ltrs + distilled water</t>
  </si>
  <si>
    <t xml:space="preserve">Mop stick, plastic brush, washing powder &amp; garbage bags</t>
  </si>
  <si>
    <t xml:space="preserve">Diesel 17Ltrs</t>
  </si>
  <si>
    <t xml:space="preserve">EB line man bribe</t>
  </si>
  <si>
    <t xml:space="preserve">Adapter</t>
  </si>
  <si>
    <t xml:space="preserve">Broom</t>
  </si>
  <si>
    <t xml:space="preserve">Diesel 17 Ltrs</t>
  </si>
  <si>
    <t xml:space="preserve">Water pusher, broom &amp; dust pan</t>
  </si>
  <si>
    <t xml:space="preserve">Bulbs (5Nos.) &amp; glue</t>
  </si>
  <si>
    <t xml:space="preserve">Tara Salary advance</t>
  </si>
  <si>
    <t xml:space="preserve">Diesel X Ltrs</t>
  </si>
  <si>
    <t xml:space="preserve">Mahindra Advance salary</t>
  </si>
  <si>
    <t xml:space="preserve">Car Wash liquid</t>
  </si>
  <si>
    <t xml:space="preserve">Cleaning Solution</t>
  </si>
  <si>
    <t xml:space="preserve">Mis. Purchase</t>
  </si>
  <si>
    <t xml:space="preserve">Temporary Elec Bill (July) </t>
  </si>
  <si>
    <t xml:space="preserve">Manish (All out purchase)</t>
  </si>
  <si>
    <t xml:space="preserve">AMC</t>
  </si>
  <si>
    <t xml:space="preserve">Bank Account opening</t>
  </si>
  <si>
    <t xml:space="preserve">online transfer</t>
  </si>
  <si>
    <t xml:space="preserve">Tara Salary </t>
  </si>
  <si>
    <t xml:space="preserve">online transfer </t>
  </si>
  <si>
    <t xml:space="preserve">Mis. Purchase (broom and waste bags)</t>
  </si>
  <si>
    <t xml:space="preserve">Water Tank Cleaning</t>
  </si>
  <si>
    <t xml:space="preserve">Bank Balance</t>
  </si>
  <si>
    <t xml:space="preserve">Mis. Purchase </t>
  </si>
  <si>
    <t xml:space="preserve">Terrace Cleaning by Tara</t>
  </si>
  <si>
    <t xml:space="preserve">2 Steel Brush</t>
  </si>
  <si>
    <t xml:space="preserve">Genset Service</t>
  </si>
  <si>
    <t xml:space="preserve">Gautam JP (advance Glass)</t>
  </si>
  <si>
    <t xml:space="preserve">Tara Adance </t>
  </si>
  <si>
    <t xml:space="preserve">Terrace Cementing </t>
  </si>
  <si>
    <t xml:space="preserve">Interest Credits</t>
  </si>
  <si>
    <t xml:space="preserve">Some body has give 10K. need to find out</t>
  </si>
  <si>
    <t xml:space="preserve">Paid the Balance to Krishnan</t>
  </si>
  <si>
    <t xml:space="preserve">Bank Balance </t>
  </si>
  <si>
    <t xml:space="preserve">garbage for the month of June(advance)</t>
  </si>
  <si>
    <t xml:space="preserve">Paid Gowtham glass</t>
  </si>
  <si>
    <t xml:space="preserve">Paid Gowtham</t>
  </si>
  <si>
    <t xml:space="preserve">phenyl</t>
  </si>
  <si>
    <t xml:space="preserve">Carpenter Work</t>
  </si>
  <si>
    <t xml:space="preserve">broom</t>
  </si>
  <si>
    <t xml:space="preserve">tree cutting </t>
  </si>
  <si>
    <t xml:space="preserve">Name Board</t>
  </si>
  <si>
    <t xml:space="preserve">Plumber</t>
  </si>
  <si>
    <t xml:space="preserve">Electricity ASD Bill </t>
  </si>
  <si>
    <t xml:space="preserve">shampoo</t>
  </si>
  <si>
    <t xml:space="preserve">Water Bill advance </t>
  </si>
  <si>
    <t xml:space="preserve">Pipe - 30m</t>
  </si>
  <si>
    <t xml:space="preserve">Phynel</t>
  </si>
  <si>
    <t xml:space="preserve">Garabage</t>
  </si>
  <si>
    <t xml:space="preserve">Elevator Maintaince</t>
  </si>
  <si>
    <t xml:space="preserve">notebook </t>
  </si>
  <si>
    <t xml:space="preserve">glue for the gate</t>
  </si>
  <si>
    <t xml:space="preserve">mosquito repellant</t>
  </si>
  <si>
    <t xml:space="preserve">refund the money to Prem received from anil</t>
  </si>
  <si>
    <t xml:space="preserve">mop</t>
  </si>
  <si>
    <t xml:space="preserve">advance to tara</t>
  </si>
  <si>
    <t xml:space="preserve">diseal</t>
  </si>
  <si>
    <t xml:space="preserve">electrician borewell</t>
  </si>
  <si>
    <t xml:space="preserve">diesel</t>
  </si>
  <si>
    <t xml:space="preserve">Purchases Phenyl etc</t>
  </si>
  <si>
    <t xml:space="preserve">05-11-0203</t>
  </si>
  <si>
    <t xml:space="preserve">Borewell repair</t>
  </si>
  <si>
    <t xml:space="preserve">Water Tanker</t>
  </si>
  <si>
    <t xml:space="preserve">Borewell Electric Cable</t>
  </si>
  <si>
    <t xml:space="preserve">Borewell Cable Laying</t>
  </si>
  <si>
    <t xml:space="preserve">Electrician </t>
  </si>
  <si>
    <t xml:space="preserve">Phenyl and Lizol</t>
  </si>
  <si>
    <t xml:space="preserve">For Mob</t>
  </si>
  <si>
    <t xml:space="preserve">S Vinodh</t>
  </si>
  <si>
    <t xml:space="preserve">Wayerlineman</t>
  </si>
  <si>
    <t xml:space="preserve">Rajesh Tharani</t>
  </si>
  <si>
    <t xml:space="preserve">Tree Cutting</t>
  </si>
  <si>
    <t xml:space="preserve">Lift Maintenance</t>
  </si>
  <si>
    <t xml:space="preserve">Lift Mat</t>
  </si>
  <si>
    <t xml:space="preserve">Drainage Pest Control</t>
  </si>
  <si>
    <t xml:space="preserve">Skid Tape</t>
  </si>
  <si>
    <t xml:space="preserve">Welding of Gate and frebothers</t>
  </si>
  <si>
    <t xml:space="preserve">Electrician for Camera</t>
  </si>
  <si>
    <t xml:space="preserve">Borewell Repair  plus borewell water check</t>
  </si>
  <si>
    <t xml:space="preserve">Water Pressure</t>
  </si>
  <si>
    <t xml:space="preserve">Water Pipe for washing</t>
  </si>
  <si>
    <t xml:space="preserve">Welding of Gate</t>
  </si>
  <si>
    <t xml:space="preserve">Electrical Work</t>
  </si>
  <si>
    <t xml:space="preserve">New Borewell Advance</t>
  </si>
  <si>
    <t xml:space="preserve">Borewell Second Adv</t>
  </si>
  <si>
    <t xml:space="preserve">Borewell Last Payment</t>
  </si>
  <si>
    <t xml:space="preserve">Paid in April 12000/-</t>
  </si>
  <si>
    <t xml:space="preserve">Plumbing and elec</t>
  </si>
  <si>
    <t xml:space="preserve">Tara Advance</t>
  </si>
  <si>
    <t xml:space="preserve">Water Aerator (2 Nos)</t>
  </si>
  <si>
    <t xml:space="preserve">8500 Plus 3500</t>
  </si>
  <si>
    <t xml:space="preserve">Misc</t>
  </si>
  <si>
    <t xml:space="preserve">Generator Maintenance</t>
  </si>
  <si>
    <t xml:space="preserve">Paint</t>
  </si>
  <si>
    <t xml:space="preserve">Floor Cleaning liquid</t>
  </si>
  <si>
    <t xml:space="preserve">Dust Pan Common Area</t>
  </si>
  <si>
    <t xml:space="preserve">Floor Cleaning Work</t>
  </si>
  <si>
    <t xml:space="preserve">Electrician</t>
  </si>
  <si>
    <t xml:space="preserve">Electric Work due to Rat</t>
  </si>
  <si>
    <t xml:space="preserve">Hit</t>
  </si>
  <si>
    <t xml:space="preserve">Amazon Purchase for Rat Poison</t>
  </si>
  <si>
    <t xml:space="preserve">Bank Balance Last Month</t>
  </si>
  <si>
    <t xml:space="preserve">Paid</t>
  </si>
  <si>
    <t xml:space="preserve">BESCOM</t>
  </si>
  <si>
    <t xml:space="preserve">Paid (Two Months)</t>
  </si>
  <si>
    <t xml:space="preserve">BWSSB</t>
  </si>
  <si>
    <t xml:space="preserve">Lights</t>
  </si>
  <si>
    <t xml:space="preserve">Generator Repair</t>
  </si>
  <si>
    <t xml:space="preserve">GAIl Ground Work</t>
  </si>
  <si>
    <t xml:space="preserve">Lizol</t>
  </si>
  <si>
    <t xml:space="preserve">to Krishnan (Tara GAIL Advance)</t>
  </si>
  <si>
    <t xml:space="preserve">Tara Advance </t>
  </si>
  <si>
    <t xml:space="preserve">Electricals</t>
  </si>
  <si>
    <t xml:space="preserve">paid</t>
  </si>
  <si>
    <t xml:space="preserve">Generator Servicing</t>
  </si>
  <si>
    <t xml:space="preserve">Ugadi Bonus</t>
  </si>
  <si>
    <t xml:space="preserve">Paid in Jan</t>
  </si>
  <si>
    <t xml:space="preserve">Paid in Dec</t>
  </si>
  <si>
    <t xml:space="preserve">Garbage Bags</t>
  </si>
  <si>
    <t xml:space="preserve">Had paid more in Jan</t>
  </si>
  <si>
    <t xml:space="preserve">Garbage Collectin</t>
  </si>
  <si>
    <t xml:space="preserve">Glue</t>
  </si>
  <si>
    <t xml:space="preserve">Shampoo</t>
  </si>
  <si>
    <t xml:space="preserve">Cleaning Liquid</t>
  </si>
  <si>
    <t xml:space="preserve">Light Fixtures</t>
  </si>
  <si>
    <t xml:space="preserve">Paid More</t>
  </si>
  <si>
    <t xml:space="preserve">Elec Bill</t>
  </si>
  <si>
    <t xml:space="preserve">CCTV Monitor Cable</t>
  </si>
  <si>
    <t xml:space="preserve">Water Cleaning</t>
  </si>
  <si>
    <t xml:space="preserve">Garbage Collection</t>
  </si>
  <si>
    <t xml:space="preserve">Mop Stick</t>
  </si>
  <si>
    <t xml:space="preserve">Tara Advance (Chandan)</t>
  </si>
  <si>
    <t xml:space="preserve">Pest Control</t>
  </si>
  <si>
    <t xml:space="preserve">Diesel and Garbage</t>
  </si>
  <si>
    <t xml:space="preserve">Paid for Oct and Nov</t>
  </si>
  <si>
    <t xml:space="preserve">Wet Garbage Bin</t>
  </si>
  <si>
    <t xml:space="preserve">Cockroach Hit</t>
  </si>
  <si>
    <t xml:space="preserve">Expenses</t>
  </si>
  <si>
    <t xml:space="preserve">Collections</t>
  </si>
  <si>
    <t xml:space="preserve">Diesel Plus Garbage</t>
  </si>
  <si>
    <t xml:space="preserve">Garbage Bin</t>
  </si>
  <si>
    <t xml:space="preserve">BWSSB Bill</t>
  </si>
  <si>
    <t xml:space="preserve">BESCOM Electricity Bill</t>
  </si>
  <si>
    <t xml:space="preserve">Tara Bonus</t>
  </si>
  <si>
    <t xml:space="preserve">Garbage Diwali Bonus</t>
  </si>
  <si>
    <t xml:space="preserve">Electrician Earthing Repair</t>
  </si>
  <si>
    <t xml:space="preserve">Total Expenses</t>
  </si>
  <si>
    <t xml:space="preserve">Mop</t>
  </si>
  <si>
    <t xml:space="preserve">Light Replacement</t>
  </si>
  <si>
    <t xml:space="preserve">CCTV Adapter</t>
  </si>
  <si>
    <t xml:space="preserve">Alhan- Snake Catching</t>
  </si>
  <si>
    <t xml:space="preserve">Jul and Aug</t>
  </si>
  <si>
    <t xml:space="preserve">Advance</t>
  </si>
  <si>
    <t xml:space="preserve">BWSSB (Water)</t>
  </si>
  <si>
    <t xml:space="preserve">MOP</t>
  </si>
  <si>
    <t xml:space="preserve">BESCOM (e Bill)</t>
  </si>
  <si>
    <t xml:space="preserve">Plants</t>
  </si>
  <si>
    <t xml:space="preserve">BWSSB Bill (Water)</t>
  </si>
  <si>
    <t xml:space="preserve">Cockroach</t>
  </si>
  <si>
    <t xml:space="preserve">Elecricity</t>
  </si>
  <si>
    <t xml:space="preserve">Amazon</t>
  </si>
  <si>
    <t xml:space="preserve">Lumin Coating</t>
  </si>
  <si>
    <t xml:space="preserve">Paint Brush</t>
  </si>
  <si>
    <t xml:space="preserve">Generator Service</t>
  </si>
  <si>
    <t xml:space="preserve">Painting </t>
  </si>
  <si>
    <t xml:space="preserve">Electricity</t>
  </si>
  <si>
    <t xml:space="preserve">Water</t>
  </si>
  <si>
    <t xml:space="preserve">Tree Vutting</t>
  </si>
  <si>
    <t xml:space="preserve">Rat Hole</t>
  </si>
  <si>
    <t xml:space="preserve">Rat Poison</t>
  </si>
  <si>
    <t xml:space="preserve">Return to Manish excess</t>
  </si>
  <si>
    <t xml:space="preserve">Naga Reddy</t>
  </si>
  <si>
    <t xml:space="preserve">Electrician (Manju)</t>
  </si>
  <si>
    <t xml:space="preserve">Biplav CCTV Adaptor</t>
  </si>
  <si>
    <t xml:space="preserve">Society Formation </t>
  </si>
  <si>
    <t xml:space="preserve">Diwali Bonus to Tara</t>
  </si>
  <si>
    <t xml:space="preserve">Lyzol and Washing Shampoo</t>
  </si>
  <si>
    <t xml:space="preserve">Biometric Repair</t>
  </si>
  <si>
    <t xml:space="preserve">Gate Repair</t>
  </si>
  <si>
    <t xml:space="preserve">29-12-0204</t>
  </si>
  <si>
    <t xml:space="preserve">AMC paid for 6months</t>
  </si>
  <si>
    <t xml:space="preserve">AMC paid for next 6months</t>
  </si>
  <si>
    <t xml:space="preserve">Tara salary 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</si>
</sst>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d/m/yyyy"/>
    <numFmt numFmtId="167" formatCode="dd/mm/yyyy"/>
    <numFmt numFmtId="168" formatCode="dd\-mm\-yyyy"/>
    <numFmt numFmtId="169" formatCode="#,##0.00"/>
    <numFmt numFmtId="170" formatCode="d\-m\-yyyy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FF0000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333333"/>
      <name val="Arial"/>
      <family val="0"/>
      <charset val="1"/>
    </font>
    <font>
      <b val="true"/>
      <sz val="11"/>
      <color rgb="FF104887"/>
      <name val="Arial"/>
      <family val="0"/>
      <charset val="1"/>
    </font>
    <font>
      <sz val="11"/>
      <color rgb="FFFFFFFF"/>
      <name val="Arial"/>
      <family val="0"/>
      <charset val="1"/>
    </font>
    <font>
      <sz val="9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8761D"/>
        <bgColor rgb="FF339966"/>
      </patternFill>
    </fill>
    <fill>
      <patternFill patternType="solid">
        <fgColor rgb="FFFF9900"/>
        <bgColor rgb="FFFF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488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sharedStrings" Target="sharedStrings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1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2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6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7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8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9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0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11.v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1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39.75"/>
    <col collapsed="false" customWidth="true" hidden="false" outlineLevel="0" max="5" min="5" style="0" width="13.5"/>
  </cols>
  <sheetData>
    <row r="1" customFormat="false" ht="15.75" hidden="false" customHeight="false" outlineLevel="0" collapsed="false">
      <c r="A1" s="1" t="s">
        <v>0</v>
      </c>
    </row>
    <row r="3" customFormat="false" ht="15.75" hidden="false" customHeight="false" outlineLevel="0" collapsed="false">
      <c r="A3" s="1" t="s">
        <v>1</v>
      </c>
      <c r="B3" s="1" t="n">
        <v>12000</v>
      </c>
      <c r="E3" s="1" t="s">
        <v>2</v>
      </c>
      <c r="F3" s="1" t="n">
        <v>5500</v>
      </c>
    </row>
    <row r="4" customFormat="false" ht="15.75" hidden="false" customHeight="false" outlineLevel="0" collapsed="false">
      <c r="A4" s="1" t="s">
        <v>3</v>
      </c>
      <c r="B4" s="1" t="n">
        <v>500</v>
      </c>
      <c r="E4" s="1" t="s">
        <v>4</v>
      </c>
      <c r="F4" s="1" t="n">
        <v>5500</v>
      </c>
    </row>
    <row r="5" customFormat="false" ht="15.75" hidden="false" customHeight="false" outlineLevel="0" collapsed="false">
      <c r="A5" s="1" t="s">
        <v>5</v>
      </c>
      <c r="B5" s="1" t="n">
        <v>1500</v>
      </c>
      <c r="E5" s="1" t="s">
        <v>6</v>
      </c>
      <c r="F5" s="1" t="n">
        <v>5500</v>
      </c>
    </row>
    <row r="6" customFormat="false" ht="15.75" hidden="false" customHeight="false" outlineLevel="0" collapsed="false">
      <c r="A6" s="1" t="s">
        <v>7</v>
      </c>
      <c r="B6" s="1" t="n">
        <v>200</v>
      </c>
      <c r="E6" s="1" t="s">
        <v>8</v>
      </c>
      <c r="F6" s="1" t="n">
        <v>5500</v>
      </c>
    </row>
    <row r="7" customFormat="false" ht="15.75" hidden="false" customHeight="false" outlineLevel="0" collapsed="false">
      <c r="A7" s="1" t="s">
        <v>9</v>
      </c>
      <c r="B7" s="1" t="n">
        <v>80</v>
      </c>
      <c r="E7" s="1" t="s">
        <v>10</v>
      </c>
      <c r="F7" s="1" t="n">
        <v>5500</v>
      </c>
    </row>
    <row r="8" customFormat="false" ht="15.75" hidden="false" customHeight="false" outlineLevel="0" collapsed="false">
      <c r="A8" s="1" t="s">
        <v>11</v>
      </c>
      <c r="B8" s="1" t="n">
        <v>500</v>
      </c>
      <c r="E8" s="1" t="s">
        <v>12</v>
      </c>
      <c r="F8" s="1" t="n">
        <v>5500</v>
      </c>
    </row>
    <row r="9" customFormat="false" ht="15.75" hidden="false" customHeight="false" outlineLevel="0" collapsed="false">
      <c r="A9" s="1" t="s">
        <v>13</v>
      </c>
      <c r="B9" s="1" t="n">
        <v>500</v>
      </c>
      <c r="E9" s="1" t="s">
        <v>14</v>
      </c>
      <c r="F9" s="1" t="n">
        <v>5500</v>
      </c>
    </row>
    <row r="10" customFormat="false" ht="15.75" hidden="false" customHeight="false" outlineLevel="0" collapsed="false">
      <c r="A10" s="1" t="s">
        <v>15</v>
      </c>
      <c r="B10" s="1" t="n">
        <v>2778</v>
      </c>
      <c r="E10" s="1" t="s">
        <v>16</v>
      </c>
      <c r="F10" s="1" t="n">
        <v>5500</v>
      </c>
    </row>
    <row r="11" customFormat="false" ht="15.75" hidden="false" customHeight="false" outlineLevel="0" collapsed="false">
      <c r="A11" s="1" t="s">
        <v>17</v>
      </c>
      <c r="B11" s="1" t="n">
        <v>1000</v>
      </c>
      <c r="E11" s="1" t="s">
        <v>18</v>
      </c>
      <c r="F11" s="2" t="n">
        <f aca="false">SUM(F3:F10)</f>
        <v>44000</v>
      </c>
    </row>
    <row r="12" customFormat="false" ht="15.75" hidden="false" customHeight="false" outlineLevel="0" collapsed="false">
      <c r="A12" s="1" t="s">
        <v>19</v>
      </c>
      <c r="B12" s="1" t="n">
        <v>18492</v>
      </c>
    </row>
    <row r="13" customFormat="false" ht="15.75" hidden="false" customHeight="false" outlineLevel="0" collapsed="false">
      <c r="A13" s="1" t="s">
        <v>20</v>
      </c>
      <c r="B13" s="1" t="n">
        <v>200</v>
      </c>
    </row>
    <row r="14" customFormat="false" ht="15.75" hidden="false" customHeight="false" outlineLevel="0" collapsed="false">
      <c r="A14" s="1" t="s">
        <v>21</v>
      </c>
      <c r="B14" s="1" t="n">
        <v>800</v>
      </c>
      <c r="E14" s="3" t="s">
        <v>22</v>
      </c>
      <c r="F14" s="3"/>
      <c r="G14" s="2" t="n">
        <f aca="false">(F11-B18)</f>
        <v>3356</v>
      </c>
    </row>
    <row r="15" customFormat="false" ht="15.75" hidden="false" customHeight="false" outlineLevel="0" collapsed="false">
      <c r="A15" s="1" t="s">
        <v>23</v>
      </c>
      <c r="B15" s="1" t="n">
        <f aca="false">SUM(408+96)</f>
        <v>504</v>
      </c>
    </row>
    <row r="16" customFormat="false" ht="15.75" hidden="false" customHeight="false" outlineLevel="0" collapsed="false">
      <c r="A16" s="1" t="s">
        <v>24</v>
      </c>
      <c r="B16" s="1" t="n">
        <v>1500</v>
      </c>
    </row>
    <row r="17" customFormat="false" ht="15.75" hidden="false" customHeight="false" outlineLevel="0" collapsed="false">
      <c r="A17" s="1" t="s">
        <v>25</v>
      </c>
      <c r="B17" s="1" t="n">
        <v>90</v>
      </c>
    </row>
    <row r="18" customFormat="false" ht="15.75" hidden="false" customHeight="false" outlineLevel="0" collapsed="false">
      <c r="A18" s="1" t="s">
        <v>18</v>
      </c>
      <c r="B18" s="2" t="n">
        <f aca="false">SUM(B3:B17)</f>
        <v>40644</v>
      </c>
    </row>
  </sheetData>
  <mergeCells count="1">
    <mergeCell ref="E14:F14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9.37"/>
  </cols>
  <sheetData>
    <row r="1" customFormat="false" ht="15.75" hidden="false" customHeight="false" outlineLevel="0" collapsed="false">
      <c r="A1" s="3" t="s">
        <v>26</v>
      </c>
      <c r="B1" s="3"/>
      <c r="C1" s="3"/>
    </row>
    <row r="3" customFormat="false" ht="15.75" hidden="false" customHeight="false" outlineLevel="0" collapsed="false">
      <c r="A3" s="1" t="s">
        <v>1</v>
      </c>
      <c r="B3" s="1" t="n">
        <v>12000</v>
      </c>
      <c r="D3" s="1" t="s">
        <v>2</v>
      </c>
      <c r="E3" s="1" t="n">
        <v>5500</v>
      </c>
    </row>
    <row r="4" customFormat="false" ht="15.75" hidden="false" customHeight="false" outlineLevel="0" collapsed="false">
      <c r="A4" s="1" t="s">
        <v>3</v>
      </c>
      <c r="B4" s="1" t="n">
        <v>500</v>
      </c>
      <c r="D4" s="1" t="s">
        <v>4</v>
      </c>
      <c r="E4" s="1" t="n">
        <v>5500</v>
      </c>
    </row>
    <row r="5" customFormat="false" ht="15.75" hidden="false" customHeight="false" outlineLevel="0" collapsed="false">
      <c r="A5" s="1" t="s">
        <v>27</v>
      </c>
      <c r="B5" s="1" t="n">
        <v>800</v>
      </c>
      <c r="D5" s="1" t="s">
        <v>6</v>
      </c>
      <c r="E5" s="1" t="n">
        <v>5500</v>
      </c>
    </row>
    <row r="6" customFormat="false" ht="15.75" hidden="false" customHeight="false" outlineLevel="0" collapsed="false">
      <c r="A6" s="1" t="s">
        <v>15</v>
      </c>
      <c r="B6" s="1" t="n">
        <v>2888</v>
      </c>
      <c r="D6" s="1" t="s">
        <v>8</v>
      </c>
      <c r="E6" s="1" t="n">
        <v>5500</v>
      </c>
    </row>
    <row r="7" customFormat="false" ht="15.75" hidden="false" customHeight="false" outlineLevel="0" collapsed="false">
      <c r="A7" s="1" t="s">
        <v>28</v>
      </c>
      <c r="B7" s="1" t="n">
        <v>1600</v>
      </c>
      <c r="D7" s="1" t="s">
        <v>10</v>
      </c>
      <c r="E7" s="1" t="n">
        <v>5500</v>
      </c>
    </row>
    <row r="8" customFormat="false" ht="15.75" hidden="false" customHeight="false" outlineLevel="0" collapsed="false">
      <c r="A8" s="1" t="s">
        <v>29</v>
      </c>
      <c r="B8" s="1" t="n">
        <v>2000</v>
      </c>
      <c r="D8" s="1" t="s">
        <v>12</v>
      </c>
      <c r="E8" s="1" t="n">
        <v>5500</v>
      </c>
    </row>
    <row r="9" customFormat="false" ht="15.75" hidden="false" customHeight="false" outlineLevel="0" collapsed="false">
      <c r="A9" s="1" t="s">
        <v>30</v>
      </c>
      <c r="B9" s="1" t="n">
        <v>500</v>
      </c>
      <c r="D9" s="1" t="s">
        <v>14</v>
      </c>
      <c r="E9" s="1" t="n">
        <v>5500</v>
      </c>
    </row>
    <row r="10" customFormat="false" ht="15.75" hidden="false" customHeight="false" outlineLevel="0" collapsed="false">
      <c r="A10" s="1" t="s">
        <v>31</v>
      </c>
      <c r="B10" s="1" t="n">
        <v>250</v>
      </c>
      <c r="D10" s="1" t="s">
        <v>16</v>
      </c>
      <c r="E10" s="1" t="n">
        <v>5500</v>
      </c>
    </row>
    <row r="11" customFormat="false" ht="15.75" hidden="false" customHeight="false" outlineLevel="0" collapsed="false">
      <c r="A11" s="1" t="s">
        <v>24</v>
      </c>
      <c r="B11" s="1" t="n">
        <v>1500</v>
      </c>
      <c r="D11" s="1" t="s">
        <v>18</v>
      </c>
      <c r="E11" s="2" t="n">
        <f aca="false">SUM(E3:E10)</f>
        <v>44000</v>
      </c>
    </row>
    <row r="12" customFormat="false" ht="15.75" hidden="false" customHeight="false" outlineLevel="0" collapsed="false">
      <c r="A12" s="1" t="s">
        <v>19</v>
      </c>
      <c r="B12" s="1" t="n">
        <v>23801</v>
      </c>
    </row>
    <row r="13" customFormat="false" ht="15.75" hidden="false" customHeight="false" outlineLevel="0" collapsed="false">
      <c r="B13" s="4" t="n">
        <f aca="false">SUM(B3:B12)</f>
        <v>45839</v>
      </c>
    </row>
    <row r="14" customFormat="false" ht="15.75" hidden="false" customHeight="false" outlineLevel="0" collapsed="false">
      <c r="D14" s="1" t="s">
        <v>22</v>
      </c>
      <c r="F14" s="4" t="n">
        <f aca="false">SUM(E11+3356-B13)</f>
        <v>1517</v>
      </c>
    </row>
  </sheetData>
  <mergeCells count="1">
    <mergeCell ref="A1:C1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40"/>
  </cols>
  <sheetData>
    <row r="1" customFormat="false" ht="15.75" hidden="false" customHeight="false" outlineLevel="0" collapsed="false">
      <c r="A1" s="3" t="s">
        <v>32</v>
      </c>
      <c r="B1" s="3"/>
      <c r="C1" s="3"/>
    </row>
    <row r="3" customFormat="false" ht="15.75" hidden="false" customHeight="false" outlineLevel="0" collapsed="false">
      <c r="A3" s="1" t="s">
        <v>1</v>
      </c>
      <c r="B3" s="1" t="n">
        <v>12000</v>
      </c>
      <c r="D3" s="1" t="s">
        <v>2</v>
      </c>
      <c r="E3" s="1" t="n">
        <v>6500</v>
      </c>
    </row>
    <row r="4" customFormat="false" ht="15.75" hidden="false" customHeight="false" outlineLevel="0" collapsed="false">
      <c r="A4" s="1" t="s">
        <v>33</v>
      </c>
      <c r="B4" s="1" t="n">
        <v>2734</v>
      </c>
      <c r="D4" s="1" t="s">
        <v>4</v>
      </c>
      <c r="E4" s="1" t="n">
        <v>5500</v>
      </c>
    </row>
    <row r="5" customFormat="false" ht="15.75" hidden="false" customHeight="false" outlineLevel="0" collapsed="false">
      <c r="A5" s="1" t="s">
        <v>34</v>
      </c>
      <c r="B5" s="1" t="n">
        <v>1000</v>
      </c>
      <c r="D5" s="1" t="s">
        <v>6</v>
      </c>
      <c r="E5" s="1" t="n">
        <v>5500</v>
      </c>
    </row>
    <row r="6" customFormat="false" ht="15.75" hidden="false" customHeight="false" outlineLevel="0" collapsed="false">
      <c r="A6" s="1" t="s">
        <v>24</v>
      </c>
      <c r="B6" s="1" t="n">
        <v>1500</v>
      </c>
      <c r="D6" s="1" t="s">
        <v>8</v>
      </c>
      <c r="E6" s="1" t="n">
        <v>5500</v>
      </c>
    </row>
    <row r="7" customFormat="false" ht="15.75" hidden="false" customHeight="false" outlineLevel="0" collapsed="false">
      <c r="A7" s="1" t="s">
        <v>35</v>
      </c>
      <c r="B7" s="1" t="n">
        <v>27648</v>
      </c>
      <c r="D7" s="1" t="s">
        <v>10</v>
      </c>
      <c r="E7" s="1" t="n">
        <v>5500</v>
      </c>
      <c r="G7" s="3"/>
      <c r="H7" s="3"/>
      <c r="I7" s="3"/>
    </row>
    <row r="8" customFormat="false" ht="15.75" hidden="false" customHeight="false" outlineLevel="0" collapsed="false">
      <c r="A8" s="1" t="s">
        <v>3</v>
      </c>
      <c r="B8" s="1" t="n">
        <v>500</v>
      </c>
      <c r="D8" s="1" t="s">
        <v>12</v>
      </c>
      <c r="E8" s="1" t="n">
        <v>5500</v>
      </c>
    </row>
    <row r="9" customFormat="false" ht="15.75" hidden="false" customHeight="false" outlineLevel="0" collapsed="false">
      <c r="A9" s="1" t="s">
        <v>36</v>
      </c>
      <c r="B9" s="1" t="n">
        <v>830</v>
      </c>
      <c r="D9" s="1" t="s">
        <v>14</v>
      </c>
      <c r="E9" s="1" t="n">
        <v>5500</v>
      </c>
    </row>
    <row r="10" customFormat="false" ht="15.75" hidden="false" customHeight="false" outlineLevel="0" collapsed="false">
      <c r="A10" s="1" t="s">
        <v>37</v>
      </c>
      <c r="B10" s="1" t="n">
        <v>120</v>
      </c>
      <c r="D10" s="1" t="s">
        <v>16</v>
      </c>
      <c r="E10" s="1" t="n">
        <v>5500</v>
      </c>
    </row>
    <row r="11" customFormat="false" ht="15.75" hidden="false" customHeight="false" outlineLevel="0" collapsed="false">
      <c r="A11" s="1" t="s">
        <v>38</v>
      </c>
      <c r="B11" s="1" t="n">
        <v>300</v>
      </c>
      <c r="D11" s="1" t="s">
        <v>18</v>
      </c>
      <c r="E11" s="2" t="n">
        <f aca="false">SUM(E3:E10)</f>
        <v>45000</v>
      </c>
    </row>
    <row r="12" customFormat="false" ht="15.75" hidden="false" customHeight="false" outlineLevel="0" collapsed="false">
      <c r="A12" s="1" t="s">
        <v>39</v>
      </c>
      <c r="B12" s="1" t="n">
        <v>250</v>
      </c>
    </row>
    <row r="13" customFormat="false" ht="15.75" hidden="false" customHeight="false" outlineLevel="0" collapsed="false">
      <c r="A13" s="1" t="s">
        <v>40</v>
      </c>
      <c r="B13" s="1" t="n">
        <v>1100</v>
      </c>
      <c r="D13" s="1" t="s">
        <v>22</v>
      </c>
      <c r="F13" s="4" t="n">
        <f aca="false">SUM(E11+1517-B20)</f>
        <v>-2640</v>
      </c>
    </row>
    <row r="14" customFormat="false" ht="15.75" hidden="false" customHeight="false" outlineLevel="0" collapsed="false">
      <c r="A14" s="1" t="s">
        <v>41</v>
      </c>
      <c r="B14" s="1" t="n">
        <v>60</v>
      </c>
    </row>
    <row r="15" customFormat="false" ht="15.75" hidden="false" customHeight="false" outlineLevel="0" collapsed="false">
      <c r="A15" s="1" t="s">
        <v>42</v>
      </c>
      <c r="B15" s="1" t="n">
        <v>150</v>
      </c>
    </row>
    <row r="16" customFormat="false" ht="15.75" hidden="false" customHeight="false" outlineLevel="0" collapsed="false">
      <c r="A16" s="1" t="s">
        <v>43</v>
      </c>
      <c r="B16" s="1" t="n">
        <v>250</v>
      </c>
    </row>
    <row r="17" customFormat="false" ht="15.75" hidden="false" customHeight="false" outlineLevel="0" collapsed="false">
      <c r="A17" s="1" t="s">
        <v>44</v>
      </c>
      <c r="B17" s="1" t="n">
        <v>60</v>
      </c>
    </row>
    <row r="18" customFormat="false" ht="15.75" hidden="false" customHeight="false" outlineLevel="0" collapsed="false">
      <c r="A18" s="1" t="s">
        <v>45</v>
      </c>
      <c r="B18" s="1" t="n">
        <v>200</v>
      </c>
    </row>
    <row r="19" customFormat="false" ht="15.75" hidden="false" customHeight="false" outlineLevel="0" collapsed="false">
      <c r="A19" s="1" t="s">
        <v>46</v>
      </c>
      <c r="B19" s="1" t="n">
        <v>455</v>
      </c>
    </row>
    <row r="20" customFormat="false" ht="15.75" hidden="false" customHeight="false" outlineLevel="0" collapsed="false">
      <c r="B20" s="4" t="n">
        <f aca="false">SUM(B3:B19)</f>
        <v>49157</v>
      </c>
    </row>
  </sheetData>
  <mergeCells count="2">
    <mergeCell ref="A1:C1"/>
    <mergeCell ref="G7:I7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45.76"/>
    <col collapsed="false" customWidth="true" hidden="false" outlineLevel="0" max="4" min="4" style="0" width="18.38"/>
  </cols>
  <sheetData>
    <row r="1" customFormat="false" ht="15.75" hidden="false" customHeight="false" outlineLevel="0" collapsed="false">
      <c r="A1" s="1" t="s">
        <v>22</v>
      </c>
      <c r="B1" s="5" t="n">
        <v>-2640</v>
      </c>
    </row>
    <row r="2" customFormat="false" ht="15.75" hidden="false" customHeight="false" outlineLevel="0" collapsed="false">
      <c r="C2" s="1" t="s">
        <v>47</v>
      </c>
    </row>
    <row r="3" customFormat="false" ht="15.75" hidden="false" customHeight="false" outlineLevel="0" collapsed="false">
      <c r="A3" s="1" t="s">
        <v>1</v>
      </c>
      <c r="B3" s="1" t="n">
        <v>12000</v>
      </c>
      <c r="C3" s="6" t="n">
        <v>44561</v>
      </c>
      <c r="D3" s="1" t="s">
        <v>2</v>
      </c>
      <c r="E3" s="1" t="n">
        <v>7500</v>
      </c>
      <c r="F3" s="1" t="s">
        <v>48</v>
      </c>
    </row>
    <row r="4" customFormat="false" ht="15.75" hidden="false" customHeight="false" outlineLevel="0" collapsed="false">
      <c r="A4" s="1" t="s">
        <v>49</v>
      </c>
      <c r="B4" s="1" t="n">
        <v>500</v>
      </c>
      <c r="C4" s="7" t="n">
        <v>44562</v>
      </c>
      <c r="D4" s="1" t="s">
        <v>4</v>
      </c>
      <c r="E4" s="1" t="n">
        <v>6500</v>
      </c>
      <c r="F4" s="1" t="s">
        <v>50</v>
      </c>
    </row>
    <row r="5" customFormat="false" ht="15.75" hidden="false" customHeight="false" outlineLevel="0" collapsed="false">
      <c r="A5" s="1" t="s">
        <v>51</v>
      </c>
      <c r="B5" s="1" t="n">
        <v>1500</v>
      </c>
      <c r="C5" s="7" t="n">
        <v>44571</v>
      </c>
      <c r="D5" s="1" t="s">
        <v>6</v>
      </c>
      <c r="E5" s="1" t="n">
        <v>6500</v>
      </c>
      <c r="F5" s="1" t="s">
        <v>50</v>
      </c>
    </row>
    <row r="6" customFormat="false" ht="15.75" hidden="false" customHeight="false" outlineLevel="0" collapsed="false">
      <c r="A6" s="1" t="s">
        <v>52</v>
      </c>
      <c r="B6" s="1" t="n">
        <v>3700</v>
      </c>
      <c r="C6" s="7" t="n">
        <v>44572</v>
      </c>
      <c r="D6" s="1" t="s">
        <v>8</v>
      </c>
      <c r="E6" s="1" t="n">
        <v>6500</v>
      </c>
      <c r="F6" s="1" t="s">
        <v>50</v>
      </c>
    </row>
    <row r="7" customFormat="false" ht="15.75" hidden="false" customHeight="false" outlineLevel="0" collapsed="false">
      <c r="A7" s="1" t="s">
        <v>53</v>
      </c>
      <c r="B7" s="1" t="n">
        <v>5700</v>
      </c>
      <c r="C7" s="7" t="n">
        <v>44572</v>
      </c>
      <c r="D7" s="1" t="s">
        <v>10</v>
      </c>
      <c r="E7" s="1" t="n">
        <v>6500</v>
      </c>
      <c r="F7" s="1" t="s">
        <v>48</v>
      </c>
    </row>
    <row r="8" customFormat="false" ht="15.75" hidden="false" customHeight="false" outlineLevel="0" collapsed="false">
      <c r="A8" s="1" t="s">
        <v>54</v>
      </c>
      <c r="B8" s="1" t="n">
        <v>1500</v>
      </c>
      <c r="C8" s="7" t="n">
        <v>44572</v>
      </c>
      <c r="D8" s="1" t="s">
        <v>12</v>
      </c>
      <c r="E8" s="1" t="n">
        <v>6500</v>
      </c>
      <c r="F8" s="1" t="s">
        <v>50</v>
      </c>
    </row>
    <row r="9" customFormat="false" ht="15.75" hidden="false" customHeight="false" outlineLevel="0" collapsed="false">
      <c r="A9" s="1" t="s">
        <v>55</v>
      </c>
      <c r="B9" s="1" t="n">
        <v>2514</v>
      </c>
      <c r="C9" s="7" t="n">
        <v>44576</v>
      </c>
      <c r="D9" s="1" t="s">
        <v>14</v>
      </c>
      <c r="E9" s="1" t="n">
        <v>6500</v>
      </c>
      <c r="F9" s="1" t="s">
        <v>48</v>
      </c>
      <c r="G9" s="4" t="n">
        <f aca="false">6500-2640</f>
        <v>3860</v>
      </c>
    </row>
    <row r="10" customFormat="false" ht="15.75" hidden="false" customHeight="false" outlineLevel="0" collapsed="false">
      <c r="A10" s="1" t="s">
        <v>56</v>
      </c>
      <c r="B10" s="1" t="n">
        <v>500</v>
      </c>
      <c r="C10" s="7" t="n">
        <v>44578</v>
      </c>
      <c r="D10" s="1" t="s">
        <v>16</v>
      </c>
      <c r="E10" s="1" t="n">
        <v>6500</v>
      </c>
      <c r="F10" s="1" t="s">
        <v>48</v>
      </c>
    </row>
    <row r="11" customFormat="false" ht="15.75" hidden="false" customHeight="false" outlineLevel="0" collapsed="false">
      <c r="A11" s="1" t="s">
        <v>57</v>
      </c>
      <c r="B11" s="1" t="n">
        <v>22003</v>
      </c>
      <c r="C11" s="7" t="n">
        <v>44579</v>
      </c>
    </row>
    <row r="12" customFormat="false" ht="15.75" hidden="false" customHeight="false" outlineLevel="0" collapsed="false">
      <c r="A12" s="1" t="s">
        <v>58</v>
      </c>
      <c r="B12" s="1" t="n">
        <v>1000</v>
      </c>
      <c r="C12" s="7" t="n">
        <v>44579</v>
      </c>
      <c r="D12" s="1" t="s">
        <v>18</v>
      </c>
      <c r="E12" s="4" t="n">
        <f aca="false">SUM(E3:E10)</f>
        <v>53000</v>
      </c>
    </row>
    <row r="13" customFormat="false" ht="15.75" hidden="false" customHeight="false" outlineLevel="0" collapsed="false">
      <c r="A13" s="1" t="s">
        <v>59</v>
      </c>
      <c r="B13" s="1" t="n">
        <v>600</v>
      </c>
      <c r="C13" s="7" t="n">
        <v>44580</v>
      </c>
    </row>
    <row r="14" customFormat="false" ht="15.75" hidden="false" customHeight="false" outlineLevel="0" collapsed="false">
      <c r="A14" s="1" t="s">
        <v>60</v>
      </c>
      <c r="B14" s="1" t="n">
        <v>500</v>
      </c>
      <c r="C14" s="7" t="n">
        <v>44586</v>
      </c>
      <c r="D14" s="1" t="s">
        <v>61</v>
      </c>
      <c r="E14" s="4" t="n">
        <f aca="false">E12+B1-B17</f>
        <v>-1657</v>
      </c>
    </row>
    <row r="17" customFormat="false" ht="15.75" hidden="false" customHeight="false" outlineLevel="0" collapsed="false">
      <c r="A17" s="1" t="s">
        <v>18</v>
      </c>
      <c r="B17" s="4" t="n">
        <f aca="false">SUM(B3:B15)</f>
        <v>52017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46.13"/>
  </cols>
  <sheetData>
    <row r="1" customFormat="false" ht="15.75" hidden="false" customHeight="false" outlineLevel="0" collapsed="false">
      <c r="A1" s="1" t="s">
        <v>22</v>
      </c>
      <c r="B1" s="5" t="n">
        <f aca="false">'Jan 2022'!E14</f>
        <v>-1657</v>
      </c>
    </row>
    <row r="2" customFormat="false" ht="15.75" hidden="false" customHeight="false" outlineLevel="0" collapsed="false">
      <c r="C2" s="1" t="s">
        <v>47</v>
      </c>
    </row>
    <row r="3" customFormat="false" ht="15.75" hidden="false" customHeight="false" outlineLevel="0" collapsed="false">
      <c r="A3" s="1" t="s">
        <v>62</v>
      </c>
      <c r="B3" s="1" t="n">
        <v>12500</v>
      </c>
      <c r="C3" s="8" t="n">
        <v>44592</v>
      </c>
      <c r="D3" s="1" t="s">
        <v>2</v>
      </c>
      <c r="E3" s="1" t="n">
        <v>6500</v>
      </c>
      <c r="F3" s="1" t="s">
        <v>63</v>
      </c>
    </row>
    <row r="4" customFormat="false" ht="15.75" hidden="false" customHeight="false" outlineLevel="0" collapsed="false">
      <c r="A4" s="1" t="s">
        <v>49</v>
      </c>
      <c r="B4" s="1" t="n">
        <v>500</v>
      </c>
      <c r="C4" s="8" t="n">
        <v>44594</v>
      </c>
      <c r="D4" s="1" t="s">
        <v>4</v>
      </c>
      <c r="E4" s="1" t="n">
        <v>5500</v>
      </c>
      <c r="F4" s="1" t="s">
        <v>64</v>
      </c>
    </row>
    <row r="5" customFormat="false" ht="15.75" hidden="false" customHeight="false" outlineLevel="0" collapsed="false">
      <c r="A5" s="1" t="s">
        <v>65</v>
      </c>
      <c r="B5" s="1" t="n">
        <v>2646</v>
      </c>
      <c r="C5" s="8" t="n">
        <v>44604</v>
      </c>
      <c r="D5" s="1" t="s">
        <v>6</v>
      </c>
      <c r="E5" s="1" t="n">
        <v>5500</v>
      </c>
      <c r="F5" s="1" t="s">
        <v>66</v>
      </c>
    </row>
    <row r="6" customFormat="false" ht="15.75" hidden="false" customHeight="false" outlineLevel="0" collapsed="false">
      <c r="A6" s="1" t="s">
        <v>67</v>
      </c>
      <c r="B6" s="1" t="n">
        <v>1000</v>
      </c>
      <c r="C6" s="8" t="n">
        <v>44606</v>
      </c>
      <c r="D6" s="1" t="s">
        <v>8</v>
      </c>
      <c r="E6" s="1" t="n">
        <v>5500</v>
      </c>
      <c r="F6" s="1" t="s">
        <v>64</v>
      </c>
    </row>
    <row r="7" customFormat="false" ht="15.75" hidden="false" customHeight="false" outlineLevel="0" collapsed="false">
      <c r="A7" s="1" t="s">
        <v>68</v>
      </c>
      <c r="B7" s="1" t="n">
        <v>20781</v>
      </c>
      <c r="C7" s="8" t="n">
        <v>44606</v>
      </c>
      <c r="D7" s="1" t="s">
        <v>10</v>
      </c>
      <c r="E7" s="1" t="n">
        <v>5500</v>
      </c>
      <c r="F7" s="1" t="s">
        <v>64</v>
      </c>
    </row>
    <row r="8" customFormat="false" ht="15.75" hidden="false" customHeight="false" outlineLevel="0" collapsed="false">
      <c r="A8" s="1" t="s">
        <v>69</v>
      </c>
      <c r="B8" s="1" t="n">
        <v>500</v>
      </c>
      <c r="C8" s="8" t="n">
        <v>44617</v>
      </c>
      <c r="D8" s="1" t="s">
        <v>12</v>
      </c>
      <c r="E8" s="1" t="n">
        <v>5500</v>
      </c>
      <c r="F8" s="1" t="s">
        <v>66</v>
      </c>
    </row>
    <row r="9" customFormat="false" ht="15.75" hidden="false" customHeight="false" outlineLevel="0" collapsed="false">
      <c r="D9" s="1" t="s">
        <v>14</v>
      </c>
      <c r="E9" s="1" t="n">
        <v>5500</v>
      </c>
      <c r="F9" s="1" t="s">
        <v>66</v>
      </c>
    </row>
    <row r="10" customFormat="false" ht="15.75" hidden="false" customHeight="false" outlineLevel="0" collapsed="false">
      <c r="D10" s="1" t="s">
        <v>16</v>
      </c>
      <c r="E10" s="1" t="n">
        <v>5500</v>
      </c>
      <c r="F10" s="1" t="s">
        <v>66</v>
      </c>
    </row>
    <row r="12" customFormat="false" ht="15.75" hidden="false" customHeight="false" outlineLevel="0" collapsed="false">
      <c r="D12" s="1" t="s">
        <v>18</v>
      </c>
      <c r="E12" s="4" t="n">
        <f aca="false">SUM(E3:E10)</f>
        <v>45000</v>
      </c>
    </row>
    <row r="14" customFormat="false" ht="15.75" hidden="false" customHeight="false" outlineLevel="0" collapsed="false">
      <c r="D14" s="1" t="s">
        <v>61</v>
      </c>
      <c r="E14" s="4" t="n">
        <f aca="false">E12+B1-B17</f>
        <v>5416</v>
      </c>
    </row>
    <row r="17" customFormat="false" ht="15.75" hidden="false" customHeight="false" outlineLevel="0" collapsed="false">
      <c r="A17" s="1" t="s">
        <v>18</v>
      </c>
      <c r="B17" s="4" t="n">
        <f aca="false">SUM(B3:B15)</f>
        <v>37927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46.13"/>
  </cols>
  <sheetData>
    <row r="1" customFormat="false" ht="15.75" hidden="false" customHeight="false" outlineLevel="0" collapsed="false">
      <c r="A1" s="1" t="s">
        <v>22</v>
      </c>
      <c r="B1" s="9" t="n">
        <f aca="false">'Feb 2022'!E14</f>
        <v>5416</v>
      </c>
    </row>
    <row r="2" customFormat="false" ht="15.75" hidden="false" customHeight="false" outlineLevel="0" collapsed="false">
      <c r="C2" s="1" t="s">
        <v>47</v>
      </c>
    </row>
    <row r="3" customFormat="false" ht="15.75" hidden="false" customHeight="false" outlineLevel="0" collapsed="false">
      <c r="A3" s="1" t="s">
        <v>70</v>
      </c>
      <c r="B3" s="1" t="n">
        <v>13000</v>
      </c>
      <c r="C3" s="8" t="n">
        <v>44620</v>
      </c>
      <c r="D3" s="1" t="s">
        <v>2</v>
      </c>
      <c r="E3" s="1" t="n">
        <v>6500</v>
      </c>
      <c r="F3" s="1" t="s">
        <v>71</v>
      </c>
    </row>
    <row r="4" customFormat="false" ht="15.75" hidden="false" customHeight="false" outlineLevel="0" collapsed="false">
      <c r="A4" s="1" t="s">
        <v>72</v>
      </c>
      <c r="B4" s="1" t="n">
        <v>500</v>
      </c>
      <c r="C4" s="8" t="n">
        <v>44621</v>
      </c>
      <c r="D4" s="1" t="s">
        <v>4</v>
      </c>
      <c r="E4" s="1" t="n">
        <v>5500</v>
      </c>
      <c r="F4" s="1" t="s">
        <v>71</v>
      </c>
    </row>
    <row r="5" customFormat="false" ht="15.75" hidden="false" customHeight="false" outlineLevel="0" collapsed="false">
      <c r="A5" s="1" t="s">
        <v>24</v>
      </c>
      <c r="B5" s="1" t="n">
        <v>1700</v>
      </c>
      <c r="C5" s="8" t="n">
        <v>44624</v>
      </c>
      <c r="D5" s="1" t="s">
        <v>6</v>
      </c>
      <c r="E5" s="1" t="n">
        <v>5500</v>
      </c>
      <c r="F5" s="1" t="s">
        <v>73</v>
      </c>
    </row>
    <row r="6" customFormat="false" ht="15.75" hidden="false" customHeight="false" outlineLevel="0" collapsed="false">
      <c r="A6" s="1" t="s">
        <v>74</v>
      </c>
      <c r="B6" s="1" t="n">
        <v>360</v>
      </c>
      <c r="C6" s="8" t="n">
        <v>44627</v>
      </c>
      <c r="D6" s="1" t="s">
        <v>8</v>
      </c>
      <c r="E6" s="1" t="n">
        <v>5500</v>
      </c>
      <c r="F6" s="1" t="s">
        <v>73</v>
      </c>
    </row>
    <row r="7" customFormat="false" ht="15.75" hidden="false" customHeight="false" outlineLevel="0" collapsed="false">
      <c r="A7" s="1" t="s">
        <v>75</v>
      </c>
      <c r="B7" s="1" t="n">
        <v>2844</v>
      </c>
      <c r="C7" s="8" t="n">
        <v>44633</v>
      </c>
      <c r="D7" s="1" t="s">
        <v>10</v>
      </c>
      <c r="E7" s="1" t="n">
        <v>5500</v>
      </c>
      <c r="F7" s="1" t="s">
        <v>71</v>
      </c>
    </row>
    <row r="8" customFormat="false" ht="15.75" hidden="false" customHeight="false" outlineLevel="0" collapsed="false">
      <c r="A8" s="1" t="s">
        <v>76</v>
      </c>
      <c r="B8" s="1" t="n">
        <v>21578</v>
      </c>
      <c r="D8" s="1" t="s">
        <v>12</v>
      </c>
      <c r="E8" s="1" t="n">
        <v>5500</v>
      </c>
      <c r="F8" s="1" t="s">
        <v>73</v>
      </c>
    </row>
    <row r="9" customFormat="false" ht="15.75" hidden="false" customHeight="false" outlineLevel="0" collapsed="false">
      <c r="A9" s="1" t="s">
        <v>77</v>
      </c>
      <c r="B9" s="1" t="n">
        <v>1000</v>
      </c>
      <c r="D9" s="1" t="s">
        <v>14</v>
      </c>
      <c r="E9" s="1" t="n">
        <v>5500</v>
      </c>
      <c r="F9" s="1" t="s">
        <v>73</v>
      </c>
    </row>
    <row r="10" customFormat="false" ht="15.75" hidden="false" customHeight="false" outlineLevel="0" collapsed="false">
      <c r="A10" s="1" t="s">
        <v>24</v>
      </c>
      <c r="B10" s="1" t="n">
        <v>2000</v>
      </c>
      <c r="D10" s="1" t="s">
        <v>16</v>
      </c>
      <c r="E10" s="1" t="n">
        <v>5500</v>
      </c>
      <c r="F10" s="1" t="s">
        <v>78</v>
      </c>
    </row>
    <row r="12" customFormat="false" ht="15.75" hidden="false" customHeight="false" outlineLevel="0" collapsed="false">
      <c r="D12" s="1" t="s">
        <v>18</v>
      </c>
      <c r="E12" s="4" t="n">
        <f aca="false">SUM(E3:E10)</f>
        <v>45000</v>
      </c>
    </row>
    <row r="14" customFormat="false" ht="15.75" hidden="false" customHeight="false" outlineLevel="0" collapsed="false">
      <c r="D14" s="1" t="s">
        <v>61</v>
      </c>
      <c r="E14" s="4" t="n">
        <f aca="false">E12+B1-B17</f>
        <v>7434</v>
      </c>
    </row>
    <row r="17" customFormat="false" ht="15.75" hidden="false" customHeight="false" outlineLevel="0" collapsed="false">
      <c r="A17" s="1" t="s">
        <v>18</v>
      </c>
      <c r="B17" s="4" t="n">
        <f aca="false">SUM(B3:B15)</f>
        <v>42982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46.13"/>
  </cols>
  <sheetData>
    <row r="1" customFormat="false" ht="15.75" hidden="false" customHeight="false" outlineLevel="0" collapsed="false">
      <c r="A1" s="1" t="s">
        <v>22</v>
      </c>
      <c r="B1" s="9" t="n">
        <f aca="false">'Mar 2022'!E14</f>
        <v>7434</v>
      </c>
    </row>
    <row r="2" customFormat="false" ht="15.75" hidden="false" customHeight="false" outlineLevel="0" collapsed="false">
      <c r="C2" s="1" t="s">
        <v>47</v>
      </c>
    </row>
    <row r="3" customFormat="false" ht="15.75" hidden="false" customHeight="false" outlineLevel="0" collapsed="false">
      <c r="A3" s="1" t="s">
        <v>70</v>
      </c>
      <c r="B3" s="1" t="n">
        <v>13000</v>
      </c>
      <c r="C3" s="8" t="n">
        <v>44651</v>
      </c>
      <c r="D3" s="1" t="s">
        <v>2</v>
      </c>
      <c r="E3" s="1" t="n">
        <v>6500</v>
      </c>
      <c r="F3" s="1" t="s">
        <v>71</v>
      </c>
    </row>
    <row r="4" customFormat="false" ht="15.75" hidden="false" customHeight="false" outlineLevel="0" collapsed="false">
      <c r="A4" s="1" t="s">
        <v>72</v>
      </c>
      <c r="B4" s="1" t="n">
        <v>500</v>
      </c>
      <c r="C4" s="8" t="n">
        <v>44653</v>
      </c>
      <c r="D4" s="1" t="s">
        <v>4</v>
      </c>
      <c r="E4" s="1" t="n">
        <v>5500</v>
      </c>
      <c r="F4" s="1" t="s">
        <v>64</v>
      </c>
    </row>
    <row r="5" customFormat="false" ht="15.75" hidden="false" customHeight="false" outlineLevel="0" collapsed="false">
      <c r="A5" s="1" t="s">
        <v>11</v>
      </c>
      <c r="B5" s="1" t="n">
        <v>500</v>
      </c>
      <c r="C5" s="8" t="n">
        <v>44654</v>
      </c>
      <c r="D5" s="1" t="s">
        <v>6</v>
      </c>
      <c r="E5" s="1" t="n">
        <v>5500</v>
      </c>
      <c r="F5" s="1" t="s">
        <v>79</v>
      </c>
    </row>
    <row r="6" customFormat="false" ht="15.75" hidden="false" customHeight="false" outlineLevel="0" collapsed="false">
      <c r="A6" s="1" t="s">
        <v>15</v>
      </c>
      <c r="B6" s="1" t="n">
        <v>2734</v>
      </c>
      <c r="C6" s="8" t="n">
        <v>44655</v>
      </c>
      <c r="D6" s="1" t="s">
        <v>8</v>
      </c>
      <c r="E6" s="1" t="n">
        <v>5500</v>
      </c>
      <c r="F6" s="1" t="s">
        <v>80</v>
      </c>
    </row>
    <row r="7" customFormat="false" ht="15.75" hidden="false" customHeight="false" outlineLevel="0" collapsed="false">
      <c r="A7" s="1" t="s">
        <v>81</v>
      </c>
      <c r="B7" s="1" t="n">
        <v>94</v>
      </c>
      <c r="C7" s="8" t="n">
        <v>44660</v>
      </c>
      <c r="D7" s="1" t="s">
        <v>10</v>
      </c>
      <c r="E7" s="1" t="n">
        <v>5500</v>
      </c>
      <c r="F7" s="1" t="s">
        <v>64</v>
      </c>
    </row>
    <row r="8" customFormat="false" ht="15.75" hidden="false" customHeight="false" outlineLevel="0" collapsed="false">
      <c r="A8" s="1" t="s">
        <v>82</v>
      </c>
      <c r="B8" s="1" t="n">
        <v>150</v>
      </c>
      <c r="C8" s="8" t="n">
        <v>44660</v>
      </c>
      <c r="D8" s="1" t="s">
        <v>12</v>
      </c>
      <c r="E8" s="1" t="n">
        <v>5500</v>
      </c>
      <c r="F8" s="1" t="s">
        <v>83</v>
      </c>
    </row>
    <row r="9" customFormat="false" ht="15.75" hidden="false" customHeight="false" outlineLevel="0" collapsed="false">
      <c r="A9" s="1" t="s">
        <v>84</v>
      </c>
      <c r="B9" s="1" t="n">
        <v>23835</v>
      </c>
      <c r="C9" s="8" t="n">
        <v>44663</v>
      </c>
      <c r="D9" s="1" t="s">
        <v>14</v>
      </c>
      <c r="E9" s="1" t="n">
        <v>5500</v>
      </c>
      <c r="F9" s="1" t="s">
        <v>80</v>
      </c>
    </row>
    <row r="10" customFormat="false" ht="15.75" hidden="false" customHeight="false" outlineLevel="0" collapsed="false">
      <c r="A10" s="1" t="s">
        <v>85</v>
      </c>
      <c r="B10" s="1" t="n">
        <v>1000</v>
      </c>
      <c r="C10" s="8" t="n">
        <v>44663</v>
      </c>
      <c r="D10" s="1" t="s">
        <v>16</v>
      </c>
      <c r="E10" s="1" t="n">
        <v>5500</v>
      </c>
      <c r="F10" s="1" t="s">
        <v>86</v>
      </c>
    </row>
    <row r="11" customFormat="false" ht="15.75" hidden="false" customHeight="false" outlineLevel="0" collapsed="false">
      <c r="A11" s="1" t="s">
        <v>24</v>
      </c>
      <c r="B11" s="1" t="n">
        <v>1000</v>
      </c>
      <c r="C11" s="8" t="n">
        <v>44668</v>
      </c>
    </row>
    <row r="12" customFormat="false" ht="15.75" hidden="false" customHeight="false" outlineLevel="0" collapsed="false">
      <c r="A12" s="1" t="s">
        <v>87</v>
      </c>
      <c r="B12" s="1" t="n">
        <v>120</v>
      </c>
      <c r="C12" s="8" t="n">
        <v>44675</v>
      </c>
      <c r="D12" s="1" t="s">
        <v>18</v>
      </c>
      <c r="E12" s="4" t="n">
        <f aca="false">SUM(E3:E10)</f>
        <v>45000</v>
      </c>
    </row>
    <row r="13" customFormat="false" ht="15.75" hidden="false" customHeight="false" outlineLevel="0" collapsed="false">
      <c r="A13" s="1" t="s">
        <v>88</v>
      </c>
      <c r="B13" s="1" t="n">
        <v>565</v>
      </c>
      <c r="C13" s="8" t="n">
        <v>44677</v>
      </c>
    </row>
    <row r="14" customFormat="false" ht="15.75" hidden="false" customHeight="false" outlineLevel="0" collapsed="false">
      <c r="A14" s="1" t="s">
        <v>89</v>
      </c>
      <c r="B14" s="1" t="n">
        <v>220</v>
      </c>
      <c r="D14" s="1" t="s">
        <v>61</v>
      </c>
      <c r="E14" s="4" t="n">
        <f aca="false">E12+B1-B17</f>
        <v>6716</v>
      </c>
    </row>
    <row r="15" customFormat="false" ht="15.75" hidden="false" customHeight="false" outlineLevel="0" collapsed="false">
      <c r="A15" s="1" t="s">
        <v>24</v>
      </c>
      <c r="B15" s="1" t="n">
        <v>1500</v>
      </c>
    </row>
    <row r="16" customFormat="false" ht="15.75" hidden="false" customHeight="false" outlineLevel="0" collapsed="false">
      <c r="A16" s="1" t="s">
        <v>90</v>
      </c>
      <c r="B16" s="1" t="n">
        <v>500</v>
      </c>
    </row>
    <row r="17" customFormat="false" ht="15.75" hidden="false" customHeight="false" outlineLevel="0" collapsed="false">
      <c r="A17" s="10" t="s">
        <v>18</v>
      </c>
      <c r="B17" s="11" t="n">
        <f aca="false">SUM(B3:B16)</f>
        <v>45718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1" t="s">
        <v>22</v>
      </c>
      <c r="B1" s="9" t="n">
        <v>6716</v>
      </c>
    </row>
    <row r="2" customFormat="false" ht="15.75" hidden="false" customHeight="false" outlineLevel="0" collapsed="false">
      <c r="C2" s="1" t="s">
        <v>47</v>
      </c>
    </row>
    <row r="3" customFormat="false" ht="15.75" hidden="false" customHeight="false" outlineLevel="0" collapsed="false">
      <c r="A3" s="1" t="s">
        <v>70</v>
      </c>
      <c r="B3" s="1" t="n">
        <v>13000</v>
      </c>
      <c r="C3" s="8" t="n">
        <v>44681</v>
      </c>
      <c r="D3" s="1" t="s">
        <v>2</v>
      </c>
      <c r="E3" s="1" t="n">
        <v>6500</v>
      </c>
      <c r="F3" s="1" t="s">
        <v>66</v>
      </c>
    </row>
    <row r="4" customFormat="false" ht="15.75" hidden="false" customHeight="false" outlineLevel="0" collapsed="false">
      <c r="A4" s="1" t="s">
        <v>72</v>
      </c>
      <c r="B4" s="1" t="n">
        <v>500</v>
      </c>
      <c r="C4" s="8" t="n">
        <v>44682</v>
      </c>
      <c r="D4" s="1" t="s">
        <v>4</v>
      </c>
      <c r="E4" s="1" t="n">
        <v>5500</v>
      </c>
      <c r="F4" s="1" t="s">
        <v>64</v>
      </c>
    </row>
    <row r="5" customFormat="false" ht="15.75" hidden="false" customHeight="false" outlineLevel="0" collapsed="false">
      <c r="A5" s="1" t="s">
        <v>15</v>
      </c>
      <c r="B5" s="1" t="n">
        <v>2404</v>
      </c>
      <c r="C5" s="8" t="n">
        <v>44686</v>
      </c>
      <c r="D5" s="1" t="s">
        <v>6</v>
      </c>
      <c r="E5" s="1" t="n">
        <v>5500</v>
      </c>
      <c r="F5" s="1" t="s">
        <v>66</v>
      </c>
    </row>
    <row r="6" customFormat="false" ht="15.75" hidden="false" customHeight="false" outlineLevel="0" collapsed="false">
      <c r="A6" s="1" t="s">
        <v>85</v>
      </c>
      <c r="B6" s="1" t="n">
        <v>1000</v>
      </c>
      <c r="C6" s="8" t="n">
        <v>44691</v>
      </c>
      <c r="D6" s="1" t="s">
        <v>8</v>
      </c>
      <c r="E6" s="1" t="n">
        <v>5500</v>
      </c>
      <c r="F6" s="1" t="s">
        <v>66</v>
      </c>
    </row>
    <row r="7" customFormat="false" ht="15.75" hidden="false" customHeight="false" outlineLevel="0" collapsed="false">
      <c r="A7" s="1" t="s">
        <v>84</v>
      </c>
      <c r="B7" s="1" t="n">
        <v>23935</v>
      </c>
      <c r="C7" s="8" t="n">
        <v>44691</v>
      </c>
      <c r="D7" s="1" t="s">
        <v>10</v>
      </c>
      <c r="E7" s="1" t="n">
        <v>5500</v>
      </c>
      <c r="F7" s="1" t="s">
        <v>66</v>
      </c>
    </row>
    <row r="8" customFormat="false" ht="15.75" hidden="false" customHeight="false" outlineLevel="0" collapsed="false">
      <c r="A8" s="1" t="s">
        <v>91</v>
      </c>
      <c r="B8" s="1" t="n">
        <v>220</v>
      </c>
      <c r="C8" s="8"/>
      <c r="D8" s="1" t="s">
        <v>12</v>
      </c>
      <c r="E8" s="1" t="n">
        <v>5500</v>
      </c>
      <c r="F8" s="1" t="s">
        <v>66</v>
      </c>
    </row>
    <row r="9" customFormat="false" ht="15.75" hidden="false" customHeight="false" outlineLevel="0" collapsed="false">
      <c r="A9" s="1" t="s">
        <v>92</v>
      </c>
      <c r="B9" s="1" t="n">
        <v>123</v>
      </c>
      <c r="C9" s="8"/>
      <c r="D9" s="1" t="s">
        <v>14</v>
      </c>
      <c r="E9" s="1" t="n">
        <v>5500</v>
      </c>
      <c r="F9" s="1" t="s">
        <v>66</v>
      </c>
    </row>
    <row r="10" customFormat="false" ht="15.75" hidden="false" customHeight="false" outlineLevel="0" collapsed="false">
      <c r="C10" s="8"/>
      <c r="D10" s="1" t="s">
        <v>16</v>
      </c>
      <c r="E10" s="1" t="n">
        <v>5500</v>
      </c>
      <c r="F10" s="1" t="s">
        <v>66</v>
      </c>
    </row>
    <row r="11" customFormat="false" ht="15.75" hidden="false" customHeight="false" outlineLevel="0" collapsed="false">
      <c r="C11" s="8"/>
    </row>
    <row r="12" customFormat="false" ht="15.75" hidden="false" customHeight="false" outlineLevel="0" collapsed="false">
      <c r="D12" s="1" t="s">
        <v>18</v>
      </c>
      <c r="E12" s="4" t="n">
        <f aca="false">SUM(E3:E10)</f>
        <v>45000</v>
      </c>
    </row>
    <row r="14" customFormat="false" ht="15.75" hidden="false" customHeight="false" outlineLevel="0" collapsed="false">
      <c r="D14" s="1" t="s">
        <v>61</v>
      </c>
      <c r="E14" s="4" t="n">
        <f aca="false">E12+B1-B17</f>
        <v>10534</v>
      </c>
    </row>
    <row r="17" customFormat="false" ht="15.75" hidden="false" customHeight="false" outlineLevel="0" collapsed="false">
      <c r="A17" s="12" t="s">
        <v>18</v>
      </c>
      <c r="B17" s="4" t="n">
        <f aca="false">SUM(B3:B15)</f>
        <v>41182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1" t="s">
        <v>22</v>
      </c>
      <c r="B1" s="9" t="n">
        <v>10534</v>
      </c>
    </row>
    <row r="2" customFormat="false" ht="15.75" hidden="false" customHeight="false" outlineLevel="0" collapsed="false">
      <c r="C2" s="1" t="s">
        <v>47</v>
      </c>
    </row>
    <row r="3" customFormat="false" ht="15.75" hidden="false" customHeight="false" outlineLevel="0" collapsed="false">
      <c r="A3" s="1" t="s">
        <v>70</v>
      </c>
      <c r="B3" s="1" t="n">
        <v>13000</v>
      </c>
      <c r="C3" s="7" t="n">
        <v>44712</v>
      </c>
      <c r="D3" s="1" t="s">
        <v>2</v>
      </c>
      <c r="E3" s="1" t="n">
        <v>6500</v>
      </c>
    </row>
    <row r="4" customFormat="false" ht="15.75" hidden="false" customHeight="false" outlineLevel="0" collapsed="false">
      <c r="A4" s="1" t="s">
        <v>72</v>
      </c>
      <c r="B4" s="1" t="n">
        <v>500</v>
      </c>
      <c r="C4" s="8" t="n">
        <v>44713</v>
      </c>
      <c r="D4" s="1" t="s">
        <v>4</v>
      </c>
      <c r="E4" s="1" t="n">
        <v>5500</v>
      </c>
    </row>
    <row r="5" customFormat="false" ht="15.75" hidden="false" customHeight="false" outlineLevel="0" collapsed="false">
      <c r="A5" s="1" t="s">
        <v>15</v>
      </c>
      <c r="B5" s="1" t="n">
        <v>2602</v>
      </c>
      <c r="C5" s="8" t="n">
        <v>44719</v>
      </c>
      <c r="D5" s="1" t="s">
        <v>6</v>
      </c>
      <c r="E5" s="1" t="n">
        <v>5500</v>
      </c>
    </row>
    <row r="6" customFormat="false" ht="15.75" hidden="false" customHeight="false" outlineLevel="0" collapsed="false">
      <c r="A6" s="1" t="s">
        <v>84</v>
      </c>
      <c r="B6" s="1" t="n">
        <v>25151</v>
      </c>
      <c r="C6" s="8" t="n">
        <v>44719</v>
      </c>
      <c r="D6" s="1" t="s">
        <v>8</v>
      </c>
      <c r="E6" s="1" t="n">
        <v>5500</v>
      </c>
    </row>
    <row r="7" customFormat="false" ht="15.75" hidden="false" customHeight="false" outlineLevel="0" collapsed="false">
      <c r="A7" s="1" t="s">
        <v>85</v>
      </c>
      <c r="B7" s="1" t="n">
        <v>1000</v>
      </c>
      <c r="C7" s="8" t="n">
        <v>44719</v>
      </c>
      <c r="D7" s="1" t="s">
        <v>10</v>
      </c>
      <c r="E7" s="1" t="n">
        <v>5500</v>
      </c>
    </row>
    <row r="8" customFormat="false" ht="15.75" hidden="false" customHeight="false" outlineLevel="0" collapsed="false">
      <c r="A8" s="1" t="s">
        <v>93</v>
      </c>
      <c r="B8" s="1" t="n">
        <v>2000</v>
      </c>
      <c r="C8" s="8" t="n">
        <v>44719</v>
      </c>
      <c r="D8" s="1" t="s">
        <v>12</v>
      </c>
      <c r="E8" s="1" t="n">
        <v>5500</v>
      </c>
    </row>
    <row r="9" customFormat="false" ht="15.75" hidden="false" customHeight="false" outlineLevel="0" collapsed="false">
      <c r="A9" s="1" t="s">
        <v>94</v>
      </c>
      <c r="B9" s="1" t="n">
        <v>680</v>
      </c>
      <c r="C9" s="8" t="n">
        <v>44720</v>
      </c>
      <c r="D9" s="1" t="s">
        <v>14</v>
      </c>
      <c r="E9" s="1" t="n">
        <v>5500</v>
      </c>
    </row>
    <row r="10" customFormat="false" ht="15.75" hidden="false" customHeight="false" outlineLevel="0" collapsed="false">
      <c r="A10" s="1" t="s">
        <v>95</v>
      </c>
      <c r="B10" s="1" t="n">
        <v>100</v>
      </c>
      <c r="C10" s="8" t="n">
        <v>44724</v>
      </c>
      <c r="D10" s="1" t="s">
        <v>16</v>
      </c>
      <c r="E10" s="1" t="n">
        <v>5500</v>
      </c>
    </row>
    <row r="11" customFormat="false" ht="15.75" hidden="false" customHeight="false" outlineLevel="0" collapsed="false">
      <c r="A11" s="1" t="s">
        <v>96</v>
      </c>
      <c r="B11" s="1" t="n">
        <v>350</v>
      </c>
      <c r="C11" s="8" t="n">
        <v>44726</v>
      </c>
    </row>
    <row r="12" customFormat="false" ht="15.75" hidden="false" customHeight="false" outlineLevel="0" collapsed="false">
      <c r="A12" s="1" t="s">
        <v>97</v>
      </c>
      <c r="B12" s="1" t="n">
        <v>700</v>
      </c>
      <c r="C12" s="8" t="n">
        <v>44730</v>
      </c>
      <c r="D12" s="1" t="s">
        <v>18</v>
      </c>
      <c r="E12" s="4" t="n">
        <f aca="false">SUM(E3:E10)</f>
        <v>45000</v>
      </c>
    </row>
    <row r="13" customFormat="false" ht="15.75" hidden="false" customHeight="false" outlineLevel="0" collapsed="false">
      <c r="A13" s="1" t="s">
        <v>98</v>
      </c>
      <c r="B13" s="1" t="n">
        <v>683</v>
      </c>
      <c r="C13" s="8" t="n">
        <v>44735</v>
      </c>
    </row>
    <row r="14" customFormat="false" ht="15.75" hidden="false" customHeight="false" outlineLevel="0" collapsed="false">
      <c r="A14" s="1" t="s">
        <v>99</v>
      </c>
      <c r="B14" s="1" t="n">
        <v>2300</v>
      </c>
      <c r="C14" s="8" t="n">
        <v>44737</v>
      </c>
      <c r="D14" s="1" t="s">
        <v>61</v>
      </c>
      <c r="E14" s="4" t="n">
        <f aca="false">E12+B1-B17</f>
        <v>6168</v>
      </c>
    </row>
    <row r="15" customFormat="false" ht="15.75" hidden="false" customHeight="false" outlineLevel="0" collapsed="false">
      <c r="A15" s="1" t="s">
        <v>100</v>
      </c>
      <c r="B15" s="1" t="n">
        <v>300</v>
      </c>
    </row>
    <row r="17" customFormat="false" ht="15.75" hidden="false" customHeight="false" outlineLevel="0" collapsed="false">
      <c r="A17" s="1" t="s">
        <v>18</v>
      </c>
      <c r="B17" s="4" t="n">
        <f aca="false">SUM(B3:B15)</f>
        <v>49366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1" t="s">
        <v>22</v>
      </c>
      <c r="B1" s="9" t="n">
        <v>6168</v>
      </c>
    </row>
    <row r="2" customFormat="false" ht="15.75" hidden="false" customHeight="false" outlineLevel="0" collapsed="false">
      <c r="C2" s="1" t="s">
        <v>47</v>
      </c>
    </row>
    <row r="3" customFormat="false" ht="15.75" hidden="false" customHeight="false" outlineLevel="0" collapsed="false">
      <c r="A3" s="1" t="s">
        <v>101</v>
      </c>
      <c r="B3" s="1" t="n">
        <v>1500</v>
      </c>
      <c r="C3" s="7"/>
      <c r="D3" s="1" t="s">
        <v>2</v>
      </c>
      <c r="E3" s="1" t="n">
        <v>6500</v>
      </c>
    </row>
    <row r="4" customFormat="false" ht="15.75" hidden="false" customHeight="false" outlineLevel="0" collapsed="false">
      <c r="A4" s="1" t="s">
        <v>102</v>
      </c>
      <c r="B4" s="1" t="n">
        <v>11500</v>
      </c>
      <c r="C4" s="8"/>
      <c r="D4" s="1" t="s">
        <v>4</v>
      </c>
      <c r="E4" s="1" t="n">
        <v>5500</v>
      </c>
    </row>
    <row r="5" customFormat="false" ht="15.75" hidden="false" customHeight="false" outlineLevel="0" collapsed="false">
      <c r="A5" s="1" t="s">
        <v>72</v>
      </c>
      <c r="B5" s="1" t="n">
        <v>500</v>
      </c>
      <c r="C5" s="8"/>
      <c r="D5" s="1" t="s">
        <v>6</v>
      </c>
      <c r="E5" s="1" t="n">
        <v>5500</v>
      </c>
    </row>
    <row r="6" customFormat="false" ht="15.75" hidden="false" customHeight="false" outlineLevel="0" collapsed="false">
      <c r="A6" s="1" t="s">
        <v>15</v>
      </c>
      <c r="B6" s="1" t="n">
        <v>2536</v>
      </c>
      <c r="C6" s="8"/>
      <c r="D6" s="1" t="s">
        <v>8</v>
      </c>
      <c r="E6" s="1" t="n">
        <v>5500</v>
      </c>
    </row>
    <row r="7" customFormat="false" ht="15.75" hidden="false" customHeight="false" outlineLevel="0" collapsed="false">
      <c r="A7" s="1" t="s">
        <v>84</v>
      </c>
      <c r="B7" s="1" t="n">
        <v>24241</v>
      </c>
      <c r="C7" s="8"/>
      <c r="D7" s="1" t="s">
        <v>10</v>
      </c>
      <c r="E7" s="1" t="n">
        <v>5500</v>
      </c>
    </row>
    <row r="8" customFormat="false" ht="15.75" hidden="false" customHeight="false" outlineLevel="0" collapsed="false">
      <c r="A8" s="1" t="s">
        <v>85</v>
      </c>
      <c r="B8" s="1" t="n">
        <v>1000</v>
      </c>
      <c r="C8" s="8"/>
      <c r="D8" s="1" t="s">
        <v>12</v>
      </c>
      <c r="E8" s="1" t="n">
        <v>5500</v>
      </c>
    </row>
    <row r="9" customFormat="false" ht="15.75" hidden="false" customHeight="false" outlineLevel="0" collapsed="false">
      <c r="A9" s="1" t="s">
        <v>103</v>
      </c>
      <c r="B9" s="1" t="n">
        <v>1320</v>
      </c>
      <c r="C9" s="8"/>
      <c r="D9" s="1" t="s">
        <v>14</v>
      </c>
      <c r="E9" s="1" t="n">
        <v>5500</v>
      </c>
    </row>
    <row r="10" customFormat="false" ht="15.75" hidden="false" customHeight="false" outlineLevel="0" collapsed="false">
      <c r="A10" s="1" t="s">
        <v>104</v>
      </c>
      <c r="B10" s="1" t="n">
        <v>500</v>
      </c>
      <c r="C10" s="8"/>
      <c r="D10" s="1" t="s">
        <v>16</v>
      </c>
      <c r="E10" s="1" t="n">
        <v>5500</v>
      </c>
    </row>
    <row r="11" customFormat="false" ht="15.75" hidden="false" customHeight="false" outlineLevel="0" collapsed="false">
      <c r="A11" s="1" t="s">
        <v>105</v>
      </c>
      <c r="B11" s="1" t="n">
        <v>2500</v>
      </c>
      <c r="C11" s="8"/>
      <c r="D11" s="1"/>
      <c r="E11" s="1"/>
    </row>
    <row r="12" customFormat="false" ht="15.75" hidden="false" customHeight="false" outlineLevel="0" collapsed="false">
      <c r="A12" s="1" t="s">
        <v>106</v>
      </c>
      <c r="B12" s="1" t="n">
        <v>1560</v>
      </c>
      <c r="D12" s="1" t="s">
        <v>18</v>
      </c>
      <c r="E12" s="4" t="n">
        <f aca="false">SUM(E3:E11)</f>
        <v>45000</v>
      </c>
    </row>
    <row r="13" customFormat="false" ht="15.75" hidden="false" customHeight="false" outlineLevel="0" collapsed="false">
      <c r="D13" s="1"/>
    </row>
    <row r="14" customFormat="false" ht="15.75" hidden="false" customHeight="false" outlineLevel="0" collapsed="false">
      <c r="D14" s="1" t="s">
        <v>61</v>
      </c>
      <c r="E14" s="4" t="n">
        <f aca="false">E12+B1-B17</f>
        <v>4011</v>
      </c>
    </row>
    <row r="17" customFormat="false" ht="15.75" hidden="false" customHeight="false" outlineLevel="0" collapsed="false">
      <c r="A17" s="1" t="s">
        <v>18</v>
      </c>
      <c r="B17" s="4" t="n">
        <f aca="false">SUM(B3:B15)</f>
        <v>47157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1" t="s">
        <v>22</v>
      </c>
      <c r="B1" s="9" t="n">
        <v>4011</v>
      </c>
    </row>
    <row r="2" customFormat="false" ht="15.75" hidden="false" customHeight="false" outlineLevel="0" collapsed="false">
      <c r="C2" s="1" t="s">
        <v>47</v>
      </c>
    </row>
    <row r="3" customFormat="false" ht="15.75" hidden="false" customHeight="false" outlineLevel="0" collapsed="false">
      <c r="A3" s="1" t="s">
        <v>101</v>
      </c>
      <c r="B3" s="1" t="n">
        <v>1500</v>
      </c>
      <c r="C3" s="7"/>
      <c r="D3" s="1" t="s">
        <v>2</v>
      </c>
      <c r="E3" s="1" t="n">
        <v>6500</v>
      </c>
      <c r="F3" s="1"/>
    </row>
    <row r="4" customFormat="false" ht="15.75" hidden="false" customHeight="false" outlineLevel="0" collapsed="false">
      <c r="A4" s="1" t="s">
        <v>102</v>
      </c>
      <c r="B4" s="1" t="n">
        <v>11500</v>
      </c>
      <c r="C4" s="8"/>
      <c r="D4" s="1" t="s">
        <v>4</v>
      </c>
      <c r="E4" s="1" t="n">
        <v>5500</v>
      </c>
      <c r="F4" s="1"/>
    </row>
    <row r="5" customFormat="false" ht="15.75" hidden="false" customHeight="false" outlineLevel="0" collapsed="false">
      <c r="A5" s="1" t="s">
        <v>72</v>
      </c>
      <c r="B5" s="1" t="n">
        <v>500</v>
      </c>
      <c r="C5" s="8"/>
      <c r="D5" s="1" t="s">
        <v>6</v>
      </c>
      <c r="E5" s="1" t="n">
        <v>5500</v>
      </c>
      <c r="F5" s="1"/>
    </row>
    <row r="6" customFormat="false" ht="15.75" hidden="false" customHeight="false" outlineLevel="0" collapsed="false">
      <c r="A6" s="1" t="s">
        <v>107</v>
      </c>
      <c r="B6" s="1" t="n">
        <v>450</v>
      </c>
      <c r="C6" s="8"/>
      <c r="D6" s="1" t="s">
        <v>8</v>
      </c>
      <c r="E6" s="1" t="n">
        <v>5500</v>
      </c>
      <c r="F6" s="1"/>
    </row>
    <row r="7" customFormat="false" ht="15.75" hidden="false" customHeight="false" outlineLevel="0" collapsed="false">
      <c r="A7" s="1" t="s">
        <v>15</v>
      </c>
      <c r="B7" s="1" t="n">
        <v>2558</v>
      </c>
      <c r="C7" s="8"/>
      <c r="D7" s="1" t="s">
        <v>10</v>
      </c>
      <c r="E7" s="1" t="n">
        <v>5500</v>
      </c>
      <c r="F7" s="1"/>
    </row>
    <row r="8" customFormat="false" ht="15.75" hidden="false" customHeight="false" outlineLevel="0" collapsed="false">
      <c r="A8" s="1" t="s">
        <v>84</v>
      </c>
      <c r="B8" s="1"/>
      <c r="C8" s="8"/>
      <c r="D8" s="1" t="s">
        <v>12</v>
      </c>
      <c r="E8" s="1" t="n">
        <v>5500</v>
      </c>
      <c r="F8" s="1"/>
    </row>
    <row r="9" customFormat="false" ht="15.75" hidden="false" customHeight="false" outlineLevel="0" collapsed="false">
      <c r="A9" s="1" t="s">
        <v>85</v>
      </c>
      <c r="B9" s="1"/>
      <c r="C9" s="8"/>
      <c r="D9" s="1" t="s">
        <v>14</v>
      </c>
      <c r="E9" s="1" t="n">
        <f aca="false">5500-(2330+2820)</f>
        <v>350</v>
      </c>
      <c r="F9" s="1"/>
    </row>
    <row r="10" customFormat="false" ht="15.75" hidden="false" customHeight="false" outlineLevel="0" collapsed="false">
      <c r="A10" s="1" t="s">
        <v>108</v>
      </c>
      <c r="B10" s="1" t="n">
        <v>1494</v>
      </c>
      <c r="C10" s="8"/>
      <c r="D10" s="1" t="s">
        <v>16</v>
      </c>
      <c r="E10" s="1" t="n">
        <v>5500</v>
      </c>
      <c r="F10" s="1"/>
    </row>
    <row r="11" customFormat="false" ht="15.75" hidden="false" customHeight="false" outlineLevel="0" collapsed="false">
      <c r="A11" s="1" t="s">
        <v>105</v>
      </c>
      <c r="B11" s="1"/>
      <c r="C11" s="8"/>
      <c r="D11" s="1"/>
      <c r="E11" s="1"/>
      <c r="F11" s="1"/>
    </row>
    <row r="12" customFormat="false" ht="15.75" hidden="false" customHeight="false" outlineLevel="0" collapsed="false">
      <c r="A12" s="1" t="s">
        <v>109</v>
      </c>
      <c r="B12" s="1" t="n">
        <v>4000</v>
      </c>
      <c r="D12" s="1" t="s">
        <v>18</v>
      </c>
      <c r="E12" s="4" t="n">
        <f aca="false">SUM(E3:E11)</f>
        <v>39850</v>
      </c>
    </row>
    <row r="13" customFormat="false" ht="15.75" hidden="false" customHeight="false" outlineLevel="0" collapsed="false">
      <c r="A13" s="1" t="s">
        <v>110</v>
      </c>
      <c r="B13" s="1" t="n">
        <v>750</v>
      </c>
      <c r="D13" s="1"/>
    </row>
    <row r="14" customFormat="false" ht="15.75" hidden="false" customHeight="false" outlineLevel="0" collapsed="false">
      <c r="A14" s="1" t="s">
        <v>111</v>
      </c>
      <c r="B14" s="1" t="n">
        <v>200</v>
      </c>
      <c r="D14" s="1" t="s">
        <v>61</v>
      </c>
      <c r="E14" s="4" t="n">
        <f aca="false">E12+B1-B17</f>
        <v>20909</v>
      </c>
    </row>
    <row r="15" customFormat="false" ht="15.75" hidden="false" customHeight="false" outlineLevel="0" collapsed="false">
      <c r="A15" s="1"/>
    </row>
    <row r="17" customFormat="false" ht="15.75" hidden="false" customHeight="false" outlineLevel="0" collapsed="false">
      <c r="A17" s="1" t="s">
        <v>18</v>
      </c>
      <c r="B17" s="4" t="n">
        <f aca="false">SUM(B3:B14)</f>
        <v>22952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9.75"/>
  </cols>
  <sheetData>
    <row r="1" customFormat="false" ht="15.75" hidden="false" customHeight="false" outlineLevel="0" collapsed="false">
      <c r="A1" s="1" t="s">
        <v>22</v>
      </c>
      <c r="B1" s="9" t="n">
        <v>20909</v>
      </c>
    </row>
    <row r="2" customFormat="false" ht="15.75" hidden="false" customHeight="false" outlineLevel="0" collapsed="false">
      <c r="C2" s="1" t="s">
        <v>47</v>
      </c>
    </row>
    <row r="3" customFormat="false" ht="15.75" hidden="false" customHeight="false" outlineLevel="0" collapsed="false">
      <c r="A3" s="1" t="s">
        <v>101</v>
      </c>
      <c r="B3" s="1" t="n">
        <v>1000</v>
      </c>
      <c r="C3" s="7"/>
      <c r="D3" s="1" t="s">
        <v>2</v>
      </c>
      <c r="E3" s="1" t="n">
        <v>3000</v>
      </c>
    </row>
    <row r="4" customFormat="false" ht="15.75" hidden="false" customHeight="false" outlineLevel="0" collapsed="false">
      <c r="A4" s="1" t="s">
        <v>102</v>
      </c>
      <c r="B4" s="1" t="n">
        <v>12000</v>
      </c>
      <c r="C4" s="8"/>
      <c r="D4" s="1" t="s">
        <v>4</v>
      </c>
      <c r="E4" s="1" t="n">
        <v>3000</v>
      </c>
    </row>
    <row r="5" customFormat="false" ht="15.75" hidden="false" customHeight="false" outlineLevel="0" collapsed="false">
      <c r="A5" s="1" t="s">
        <v>72</v>
      </c>
      <c r="B5" s="1" t="n">
        <v>500</v>
      </c>
      <c r="C5" s="8"/>
      <c r="D5" s="1" t="s">
        <v>6</v>
      </c>
      <c r="E5" s="1" t="n">
        <v>2050</v>
      </c>
    </row>
    <row r="6" customFormat="false" ht="15.75" hidden="false" customHeight="false" outlineLevel="0" collapsed="false">
      <c r="A6" s="1" t="s">
        <v>112</v>
      </c>
      <c r="B6" s="1" t="n">
        <v>1493</v>
      </c>
      <c r="C6" s="8"/>
      <c r="D6" s="1" t="s">
        <v>8</v>
      </c>
      <c r="E6" s="1" t="n">
        <v>3000</v>
      </c>
    </row>
    <row r="7" customFormat="false" ht="15.75" hidden="false" customHeight="false" outlineLevel="0" collapsed="false">
      <c r="A7" s="1" t="s">
        <v>15</v>
      </c>
      <c r="B7" s="1" t="n">
        <v>2294</v>
      </c>
      <c r="C7" s="8"/>
      <c r="D7" s="1" t="s">
        <v>10</v>
      </c>
      <c r="E7" s="1" t="n">
        <v>3000</v>
      </c>
    </row>
    <row r="8" customFormat="false" ht="15.75" hidden="false" customHeight="false" outlineLevel="0" collapsed="false">
      <c r="A8" s="1" t="s">
        <v>84</v>
      </c>
      <c r="B8" s="1"/>
      <c r="C8" s="8"/>
      <c r="D8" s="1" t="s">
        <v>12</v>
      </c>
      <c r="E8" s="1" t="n">
        <v>3000</v>
      </c>
    </row>
    <row r="9" customFormat="false" ht="15.75" hidden="false" customHeight="false" outlineLevel="0" collapsed="false">
      <c r="A9" s="1" t="s">
        <v>85</v>
      </c>
      <c r="B9" s="1"/>
      <c r="C9" s="8"/>
      <c r="D9" s="1" t="s">
        <v>14</v>
      </c>
      <c r="E9" s="1" t="n">
        <v>3000</v>
      </c>
    </row>
    <row r="10" customFormat="false" ht="15.75" hidden="false" customHeight="false" outlineLevel="0" collapsed="false">
      <c r="A10" s="1" t="s">
        <v>105</v>
      </c>
      <c r="B10" s="1"/>
      <c r="C10" s="8"/>
      <c r="D10" s="1" t="s">
        <v>16</v>
      </c>
      <c r="E10" s="1" t="n">
        <v>3000</v>
      </c>
    </row>
    <row r="11" customFormat="false" ht="15.75" hidden="false" customHeight="false" outlineLevel="0" collapsed="false">
      <c r="A11" s="1" t="s">
        <v>113</v>
      </c>
      <c r="B11" s="1" t="n">
        <f aca="false">107+32+60</f>
        <v>199</v>
      </c>
      <c r="C11" s="8"/>
      <c r="D11" s="1"/>
      <c r="E11" s="1"/>
    </row>
    <row r="12" customFormat="false" ht="15.75" hidden="false" customHeight="false" outlineLevel="0" collapsed="false">
      <c r="A12" s="1" t="s">
        <v>114</v>
      </c>
      <c r="B12" s="1" t="n">
        <v>1235</v>
      </c>
      <c r="D12" s="1" t="s">
        <v>18</v>
      </c>
      <c r="E12" s="4" t="n">
        <f aca="false">SUM(E3:E11)</f>
        <v>23050</v>
      </c>
    </row>
    <row r="13" customFormat="false" ht="15.75" hidden="false" customHeight="false" outlineLevel="0" collapsed="false">
      <c r="A13" s="1"/>
      <c r="B13" s="1"/>
      <c r="D13" s="1"/>
    </row>
    <row r="14" customFormat="false" ht="15.75" hidden="false" customHeight="false" outlineLevel="0" collapsed="false">
      <c r="A14" s="1"/>
      <c r="B14" s="1"/>
      <c r="D14" s="1" t="s">
        <v>61</v>
      </c>
      <c r="E14" s="4" t="n">
        <f aca="false">E12+B1-B17</f>
        <v>25238</v>
      </c>
    </row>
    <row r="15" customFormat="false" ht="15.75" hidden="false" customHeight="false" outlineLevel="0" collapsed="false">
      <c r="A15" s="1"/>
    </row>
    <row r="17" customFormat="false" ht="15.75" hidden="false" customHeight="false" outlineLevel="0" collapsed="false">
      <c r="A17" s="1" t="s">
        <v>18</v>
      </c>
      <c r="B17" s="4" t="n">
        <f aca="false">SUM(B3:B14)</f>
        <v>18721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1.88"/>
  </cols>
  <sheetData>
    <row r="1" customFormat="false" ht="15.75" hidden="false" customHeight="false" outlineLevel="0" collapsed="false">
      <c r="A1" s="1" t="s">
        <v>22</v>
      </c>
      <c r="B1" s="9" t="n">
        <v>25238</v>
      </c>
    </row>
    <row r="2" customFormat="false" ht="15.75" hidden="false" customHeight="false" outlineLevel="0" collapsed="false">
      <c r="A2" s="1"/>
      <c r="C2" s="1" t="s">
        <v>47</v>
      </c>
    </row>
    <row r="3" customFormat="false" ht="15.75" hidden="false" customHeight="false" outlineLevel="0" collapsed="false">
      <c r="A3" s="1" t="s">
        <v>115</v>
      </c>
      <c r="B3" s="1" t="n">
        <v>2000</v>
      </c>
      <c r="C3" s="7"/>
      <c r="D3" s="1" t="s">
        <v>2</v>
      </c>
      <c r="E3" s="1" t="n">
        <v>3000</v>
      </c>
    </row>
    <row r="4" customFormat="false" ht="15.75" hidden="false" customHeight="false" outlineLevel="0" collapsed="false">
      <c r="A4" s="1" t="s">
        <v>70</v>
      </c>
      <c r="B4" s="1" t="n">
        <v>13000</v>
      </c>
      <c r="C4" s="8"/>
      <c r="D4" s="1" t="s">
        <v>4</v>
      </c>
      <c r="E4" s="1" t="n">
        <v>3000</v>
      </c>
    </row>
    <row r="5" customFormat="false" ht="15.75" hidden="false" customHeight="false" outlineLevel="0" collapsed="false">
      <c r="A5" s="1" t="s">
        <v>72</v>
      </c>
      <c r="B5" s="1" t="n">
        <v>500</v>
      </c>
      <c r="C5" s="8"/>
      <c r="D5" s="1" t="s">
        <v>6</v>
      </c>
      <c r="E5" s="1" t="n">
        <v>3000</v>
      </c>
    </row>
    <row r="6" customFormat="false" ht="15.75" hidden="false" customHeight="false" outlineLevel="0" collapsed="false">
      <c r="A6" s="1" t="s">
        <v>116</v>
      </c>
      <c r="B6" s="1" t="n">
        <v>1000</v>
      </c>
      <c r="C6" s="8"/>
      <c r="D6" s="1" t="s">
        <v>8</v>
      </c>
      <c r="E6" s="1" t="n">
        <v>3000</v>
      </c>
    </row>
    <row r="7" customFormat="false" ht="15.75" hidden="false" customHeight="false" outlineLevel="0" collapsed="false">
      <c r="A7" s="1" t="s">
        <v>15</v>
      </c>
      <c r="B7" s="1" t="n">
        <v>2140</v>
      </c>
      <c r="C7" s="8"/>
      <c r="D7" s="1" t="s">
        <v>10</v>
      </c>
      <c r="E7" s="1" t="n">
        <v>3000</v>
      </c>
    </row>
    <row r="8" customFormat="false" ht="15.75" hidden="false" customHeight="false" outlineLevel="0" collapsed="false">
      <c r="A8" s="1" t="s">
        <v>84</v>
      </c>
      <c r="B8" s="1" t="n">
        <v>12934</v>
      </c>
      <c r="C8" s="8"/>
      <c r="D8" s="1" t="s">
        <v>12</v>
      </c>
      <c r="E8" s="1" t="n">
        <v>3000</v>
      </c>
    </row>
    <row r="9" customFormat="false" ht="15.75" hidden="false" customHeight="false" outlineLevel="0" collapsed="false">
      <c r="A9" s="1" t="s">
        <v>117</v>
      </c>
      <c r="B9" s="1" t="n">
        <v>500</v>
      </c>
      <c r="C9" s="8"/>
      <c r="D9" s="1" t="s">
        <v>14</v>
      </c>
      <c r="E9" s="1" t="n">
        <v>3000</v>
      </c>
    </row>
    <row r="10" customFormat="false" ht="15.75" hidden="false" customHeight="false" outlineLevel="0" collapsed="false">
      <c r="A10" s="1" t="s">
        <v>118</v>
      </c>
      <c r="B10" s="1" t="n">
        <v>395</v>
      </c>
      <c r="C10" s="8"/>
      <c r="D10" s="1" t="s">
        <v>16</v>
      </c>
      <c r="E10" s="1" t="n">
        <v>3000</v>
      </c>
    </row>
    <row r="11" customFormat="false" ht="15.75" hidden="false" customHeight="false" outlineLevel="0" collapsed="false">
      <c r="A11" s="1" t="s">
        <v>119</v>
      </c>
      <c r="B11" s="1" t="n">
        <v>281</v>
      </c>
      <c r="C11" s="8"/>
      <c r="D11" s="1"/>
      <c r="E11" s="1"/>
    </row>
    <row r="12" customFormat="false" ht="15.75" hidden="false" customHeight="false" outlineLevel="0" collapsed="false">
      <c r="A12" s="1"/>
      <c r="B12" s="1"/>
      <c r="D12" s="1" t="s">
        <v>18</v>
      </c>
      <c r="E12" s="4" t="n">
        <f aca="false">SUM(E3:E11)</f>
        <v>24000</v>
      </c>
    </row>
    <row r="13" customFormat="false" ht="15.75" hidden="false" customHeight="false" outlineLevel="0" collapsed="false">
      <c r="A13" s="1"/>
      <c r="B13" s="1"/>
      <c r="D13" s="1"/>
    </row>
    <row r="14" customFormat="false" ht="15.75" hidden="false" customHeight="false" outlineLevel="0" collapsed="false">
      <c r="A14" s="1"/>
      <c r="B14" s="1"/>
      <c r="D14" s="1" t="s">
        <v>61</v>
      </c>
      <c r="E14" s="4" t="n">
        <f aca="false">E12+B1-B17</f>
        <v>16488</v>
      </c>
    </row>
    <row r="15" customFormat="false" ht="15.75" hidden="false" customHeight="false" outlineLevel="0" collapsed="false">
      <c r="A15" s="1"/>
      <c r="E15" s="4" t="n">
        <f aca="false">SUM(E3:E10)-B17+B1</f>
        <v>16488</v>
      </c>
    </row>
    <row r="17" customFormat="false" ht="15.75" hidden="false" customHeight="false" outlineLevel="0" collapsed="false">
      <c r="A17" s="1" t="s">
        <v>18</v>
      </c>
      <c r="B17" s="4" t="n">
        <f aca="false">SUM(B3:B14)</f>
        <v>32750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1.88"/>
  </cols>
  <sheetData>
    <row r="1" customFormat="false" ht="15.75" hidden="false" customHeight="false" outlineLevel="0" collapsed="false">
      <c r="A1" s="1" t="s">
        <v>22</v>
      </c>
      <c r="B1" s="9" t="n">
        <f aca="false">'Oct 2022'!E14</f>
        <v>16488</v>
      </c>
    </row>
    <row r="2" customFormat="false" ht="15.75" hidden="false" customHeight="false" outlineLevel="0" collapsed="false">
      <c r="A2" s="1"/>
      <c r="C2" s="1" t="s">
        <v>47</v>
      </c>
    </row>
    <row r="3" customFormat="false" ht="15.75" hidden="false" customHeight="false" outlineLevel="0" collapsed="false">
      <c r="A3" s="1" t="s">
        <v>115</v>
      </c>
      <c r="B3" s="1" t="n">
        <v>6000</v>
      </c>
      <c r="C3" s="7"/>
      <c r="D3" s="1" t="s">
        <v>2</v>
      </c>
      <c r="E3" s="1" t="n">
        <v>3000</v>
      </c>
    </row>
    <row r="4" customFormat="false" ht="15.75" hidden="false" customHeight="false" outlineLevel="0" collapsed="false">
      <c r="A4" s="1" t="s">
        <v>117</v>
      </c>
      <c r="B4" s="1" t="n">
        <v>11000</v>
      </c>
      <c r="C4" s="8"/>
      <c r="D4" s="1" t="s">
        <v>4</v>
      </c>
      <c r="E4" s="1" t="n">
        <v>3000</v>
      </c>
    </row>
    <row r="5" customFormat="false" ht="15.75" hidden="false" customHeight="false" outlineLevel="0" collapsed="false">
      <c r="A5" s="1" t="s">
        <v>72</v>
      </c>
      <c r="B5" s="1" t="n">
        <v>500</v>
      </c>
      <c r="C5" s="8"/>
      <c r="D5" s="1" t="s">
        <v>6</v>
      </c>
      <c r="E5" s="1" t="n">
        <v>3000</v>
      </c>
    </row>
    <row r="6" customFormat="false" ht="15.75" hidden="false" customHeight="false" outlineLevel="0" collapsed="false">
      <c r="A6" s="1" t="s">
        <v>116</v>
      </c>
      <c r="B6" s="1" t="n">
        <v>0</v>
      </c>
      <c r="C6" s="8"/>
      <c r="D6" s="1" t="s">
        <v>8</v>
      </c>
      <c r="E6" s="1" t="n">
        <v>3000</v>
      </c>
    </row>
    <row r="7" customFormat="false" ht="15.75" hidden="false" customHeight="false" outlineLevel="0" collapsed="false">
      <c r="A7" s="1" t="s">
        <v>15</v>
      </c>
      <c r="B7" s="1" t="n">
        <v>2206</v>
      </c>
      <c r="C7" s="8"/>
      <c r="D7" s="1" t="s">
        <v>10</v>
      </c>
      <c r="E7" s="1" t="n">
        <v>3000</v>
      </c>
    </row>
    <row r="8" customFormat="false" ht="15.75" hidden="false" customHeight="false" outlineLevel="0" collapsed="false">
      <c r="A8" s="1" t="s">
        <v>84</v>
      </c>
      <c r="B8" s="1" t="n">
        <v>2951</v>
      </c>
      <c r="C8" s="8"/>
      <c r="D8" s="1" t="s">
        <v>12</v>
      </c>
      <c r="E8" s="1" t="n">
        <v>3000</v>
      </c>
    </row>
    <row r="9" customFormat="false" ht="15.75" hidden="false" customHeight="false" outlineLevel="0" collapsed="false">
      <c r="A9" s="1" t="s">
        <v>120</v>
      </c>
      <c r="B9" s="1" t="n">
        <v>260</v>
      </c>
      <c r="C9" s="8"/>
      <c r="D9" s="1" t="s">
        <v>14</v>
      </c>
      <c r="E9" s="1" t="n">
        <v>3000</v>
      </c>
    </row>
    <row r="10" customFormat="false" ht="15.75" hidden="false" customHeight="false" outlineLevel="0" collapsed="false">
      <c r="A10" s="1" t="s">
        <v>121</v>
      </c>
      <c r="B10" s="1" t="n">
        <v>22415</v>
      </c>
      <c r="C10" s="8"/>
      <c r="D10" s="1" t="s">
        <v>16</v>
      </c>
      <c r="E10" s="1" t="n">
        <v>3000</v>
      </c>
    </row>
    <row r="11" customFormat="false" ht="15.75" hidden="false" customHeight="false" outlineLevel="0" collapsed="false">
      <c r="A11" s="1"/>
      <c r="B11" s="1"/>
      <c r="C11" s="8"/>
      <c r="D11" s="1"/>
      <c r="E11" s="1"/>
    </row>
    <row r="12" customFormat="false" ht="15.75" hidden="false" customHeight="false" outlineLevel="0" collapsed="false">
      <c r="D12" s="1" t="s">
        <v>18</v>
      </c>
      <c r="E12" s="4" t="n">
        <f aca="false">SUM(E3:E11)</f>
        <v>24000</v>
      </c>
    </row>
    <row r="13" customFormat="false" ht="15.75" hidden="false" customHeight="false" outlineLevel="0" collapsed="false">
      <c r="A13" s="1"/>
      <c r="B13" s="1"/>
      <c r="D13" s="1"/>
    </row>
    <row r="14" customFormat="false" ht="15.75" hidden="false" customHeight="false" outlineLevel="0" collapsed="false">
      <c r="A14" s="1"/>
      <c r="B14" s="1"/>
      <c r="D14" s="1" t="s">
        <v>61</v>
      </c>
      <c r="E14" s="4" t="n">
        <f aca="false">E12+B1-B17</f>
        <v>-4844</v>
      </c>
    </row>
    <row r="15" customFormat="false" ht="15.75" hidden="false" customHeight="false" outlineLevel="0" collapsed="false">
      <c r="A15" s="1"/>
      <c r="E15" s="4" t="n">
        <f aca="false">SUM(E3:E10)-B17+B1</f>
        <v>-4844</v>
      </c>
    </row>
    <row r="17" customFormat="false" ht="15.75" hidden="false" customHeight="false" outlineLevel="0" collapsed="false">
      <c r="A17" s="1" t="s">
        <v>18</v>
      </c>
      <c r="B17" s="4" t="n">
        <f aca="false">SUM(B3:B14)</f>
        <v>45332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1.88"/>
  </cols>
  <sheetData>
    <row r="1" customFormat="false" ht="15.75" hidden="false" customHeight="false" outlineLevel="0" collapsed="false">
      <c r="A1" s="1" t="s">
        <v>22</v>
      </c>
      <c r="B1" s="9" t="n">
        <f aca="false">'NOV 2022'!E14</f>
        <v>-4844</v>
      </c>
    </row>
    <row r="2" customFormat="false" ht="15.75" hidden="false" customHeight="false" outlineLevel="0" collapsed="false">
      <c r="A2" s="1"/>
      <c r="C2" s="1" t="s">
        <v>47</v>
      </c>
    </row>
    <row r="3" customFormat="false" ht="15.75" hidden="false" customHeight="false" outlineLevel="0" collapsed="false">
      <c r="A3" s="1" t="s">
        <v>115</v>
      </c>
      <c r="B3" s="1" t="n">
        <v>7000</v>
      </c>
      <c r="C3" s="7"/>
      <c r="D3" s="1" t="s">
        <v>2</v>
      </c>
      <c r="E3" s="1" t="n">
        <v>6000</v>
      </c>
    </row>
    <row r="4" customFormat="false" ht="15.75" hidden="false" customHeight="false" outlineLevel="0" collapsed="false">
      <c r="A4" s="1" t="s">
        <v>72</v>
      </c>
      <c r="B4" s="1" t="n">
        <v>500</v>
      </c>
      <c r="C4" s="8"/>
      <c r="D4" s="1" t="s">
        <v>4</v>
      </c>
      <c r="E4" s="1" t="n">
        <v>6000</v>
      </c>
    </row>
    <row r="5" customFormat="false" ht="15.75" hidden="false" customHeight="false" outlineLevel="0" collapsed="false">
      <c r="A5" s="1" t="s">
        <v>116</v>
      </c>
      <c r="B5" s="1" t="n">
        <v>0</v>
      </c>
      <c r="C5" s="8"/>
      <c r="D5" s="1" t="s">
        <v>6</v>
      </c>
      <c r="E5" s="1" t="n">
        <v>6000</v>
      </c>
    </row>
    <row r="6" customFormat="false" ht="15.75" hidden="false" customHeight="false" outlineLevel="0" collapsed="false">
      <c r="A6" s="1" t="s">
        <v>15</v>
      </c>
      <c r="B6" s="1" t="n">
        <v>2558</v>
      </c>
      <c r="C6" s="8"/>
      <c r="D6" s="1" t="s">
        <v>8</v>
      </c>
      <c r="E6" s="1" t="n">
        <v>6000</v>
      </c>
    </row>
    <row r="7" customFormat="false" ht="15.75" hidden="false" customHeight="false" outlineLevel="0" collapsed="false">
      <c r="A7" s="1" t="s">
        <v>84</v>
      </c>
      <c r="B7" s="1" t="n">
        <v>4930</v>
      </c>
      <c r="C7" s="8"/>
      <c r="D7" s="1" t="s">
        <v>10</v>
      </c>
      <c r="E7" s="1" t="n">
        <v>6000</v>
      </c>
    </row>
    <row r="8" customFormat="false" ht="15.75" hidden="false" customHeight="false" outlineLevel="0" collapsed="false">
      <c r="A8" s="1" t="s">
        <v>120</v>
      </c>
      <c r="B8" s="1" t="n">
        <v>442</v>
      </c>
      <c r="C8" s="8"/>
      <c r="D8" s="1" t="s">
        <v>12</v>
      </c>
      <c r="E8" s="1" t="n">
        <v>6000</v>
      </c>
    </row>
    <row r="9" customFormat="false" ht="15.75" hidden="false" customHeight="false" outlineLevel="0" collapsed="false">
      <c r="A9" s="1" t="s">
        <v>122</v>
      </c>
      <c r="B9" s="1" t="n">
        <v>128</v>
      </c>
      <c r="C9" s="8"/>
      <c r="D9" s="1" t="s">
        <v>14</v>
      </c>
      <c r="E9" s="1" t="n">
        <v>6000</v>
      </c>
    </row>
    <row r="10" customFormat="false" ht="15.75" hidden="false" customHeight="false" outlineLevel="0" collapsed="false">
      <c r="A10" s="1" t="s">
        <v>123</v>
      </c>
      <c r="B10" s="1" t="n">
        <v>11000</v>
      </c>
      <c r="C10" s="8"/>
      <c r="D10" s="1" t="s">
        <v>16</v>
      </c>
      <c r="E10" s="1" t="n">
        <v>6000</v>
      </c>
    </row>
    <row r="11" customFormat="false" ht="15.75" hidden="false" customHeight="false" outlineLevel="0" collapsed="false">
      <c r="A11" s="1" t="s">
        <v>124</v>
      </c>
      <c r="B11" s="1" t="n">
        <v>10000</v>
      </c>
      <c r="C11" s="8"/>
      <c r="D11" s="1"/>
      <c r="E11" s="1"/>
    </row>
    <row r="12" customFormat="false" ht="15.75" hidden="false" customHeight="false" outlineLevel="0" collapsed="false">
      <c r="A12" s="1" t="s">
        <v>115</v>
      </c>
      <c r="B12" s="1" t="n">
        <v>1000</v>
      </c>
      <c r="D12" s="1" t="s">
        <v>18</v>
      </c>
      <c r="E12" s="4" t="n">
        <f aca="false">SUM(E3:E11)</f>
        <v>48000</v>
      </c>
    </row>
    <row r="13" customFormat="false" ht="15.75" hidden="false" customHeight="false" outlineLevel="0" collapsed="false">
      <c r="A13" s="1"/>
      <c r="B13" s="1"/>
      <c r="D13" s="1"/>
    </row>
    <row r="14" customFormat="false" ht="15.75" hidden="false" customHeight="false" outlineLevel="0" collapsed="false">
      <c r="A14" s="1"/>
      <c r="B14" s="1"/>
      <c r="D14" s="1" t="s">
        <v>61</v>
      </c>
      <c r="E14" s="4" t="n">
        <f aca="false">E12-B17+B1</f>
        <v>5598</v>
      </c>
    </row>
    <row r="15" customFormat="false" ht="15.75" hidden="false" customHeight="false" outlineLevel="0" collapsed="false">
      <c r="A15" s="1"/>
      <c r="E15" s="4" t="n">
        <f aca="false">SUM(E3:E10)-B17+B1</f>
        <v>5598</v>
      </c>
    </row>
    <row r="17" customFormat="false" ht="15.75" hidden="false" customHeight="false" outlineLevel="0" collapsed="false">
      <c r="A17" s="1" t="s">
        <v>18</v>
      </c>
      <c r="B17" s="4" t="n">
        <f aca="false">SUM(B3:B14)</f>
        <v>37558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1.88"/>
    <col collapsed="false" customWidth="true" hidden="false" outlineLevel="0" max="4" min="4" style="0" width="13.5"/>
  </cols>
  <sheetData>
    <row r="1" customFormat="false" ht="15.75" hidden="false" customHeight="false" outlineLevel="0" collapsed="false">
      <c r="A1" s="1" t="s">
        <v>22</v>
      </c>
      <c r="B1" s="9" t="n">
        <f aca="false">('DEC 2022'!E14) + 10000</f>
        <v>15598</v>
      </c>
    </row>
    <row r="2" customFormat="false" ht="15.75" hidden="false" customHeight="false" outlineLevel="0" collapsed="false">
      <c r="A2" s="1"/>
      <c r="C2" s="1" t="s">
        <v>47</v>
      </c>
    </row>
    <row r="3" customFormat="false" ht="15.75" hidden="false" customHeight="false" outlineLevel="0" collapsed="false">
      <c r="B3" s="1"/>
      <c r="C3" s="7"/>
      <c r="D3" s="1" t="s">
        <v>2</v>
      </c>
      <c r="E3" s="1" t="n">
        <v>8500</v>
      </c>
      <c r="F3" s="1" t="s">
        <v>125</v>
      </c>
    </row>
    <row r="4" customFormat="false" ht="15.75" hidden="false" customHeight="false" outlineLevel="0" collapsed="false">
      <c r="A4" s="1" t="s">
        <v>126</v>
      </c>
      <c r="B4" s="1" t="n">
        <v>12000</v>
      </c>
      <c r="C4" s="8" t="n">
        <v>44927</v>
      </c>
      <c r="D4" s="1" t="s">
        <v>4</v>
      </c>
      <c r="E4" s="1" t="n">
        <v>8500</v>
      </c>
      <c r="F4" s="1" t="s">
        <v>127</v>
      </c>
    </row>
    <row r="5" customFormat="false" ht="15.75" hidden="false" customHeight="false" outlineLevel="0" collapsed="false">
      <c r="A5" s="1" t="s">
        <v>72</v>
      </c>
      <c r="B5" s="1" t="n">
        <v>500</v>
      </c>
      <c r="C5" s="8" t="n">
        <v>44929</v>
      </c>
      <c r="D5" s="1" t="s">
        <v>6</v>
      </c>
      <c r="E5" s="1" t="n">
        <v>8500</v>
      </c>
      <c r="F5" s="1" t="s">
        <v>64</v>
      </c>
    </row>
    <row r="6" customFormat="false" ht="15.75" hidden="false" customHeight="false" outlineLevel="0" collapsed="false">
      <c r="A6" s="1" t="s">
        <v>116</v>
      </c>
      <c r="B6" s="1" t="n">
        <v>1500</v>
      </c>
      <c r="C6" s="8" t="n">
        <v>44923</v>
      </c>
      <c r="D6" s="1" t="s">
        <v>8</v>
      </c>
      <c r="E6" s="1" t="n">
        <v>8500</v>
      </c>
      <c r="F6" s="1" t="s">
        <v>64</v>
      </c>
    </row>
    <row r="7" customFormat="false" ht="15.75" hidden="false" customHeight="false" outlineLevel="0" collapsed="false">
      <c r="A7" s="1" t="s">
        <v>15</v>
      </c>
      <c r="B7" s="1" t="n">
        <v>2558</v>
      </c>
      <c r="C7" s="8" t="n">
        <v>44938</v>
      </c>
      <c r="D7" s="1" t="s">
        <v>10</v>
      </c>
      <c r="E7" s="1" t="n">
        <v>8500</v>
      </c>
      <c r="F7" s="1" t="s">
        <v>64</v>
      </c>
    </row>
    <row r="8" customFormat="false" ht="15.75" hidden="false" customHeight="false" outlineLevel="0" collapsed="false">
      <c r="A8" s="1" t="s">
        <v>84</v>
      </c>
      <c r="B8" s="1" t="n">
        <v>4260</v>
      </c>
      <c r="C8" s="8" t="n">
        <v>44933</v>
      </c>
      <c r="D8" s="1" t="s">
        <v>12</v>
      </c>
      <c r="E8" s="1" t="n">
        <v>8500</v>
      </c>
      <c r="F8" s="1" t="s">
        <v>125</v>
      </c>
    </row>
    <row r="9" customFormat="false" ht="15.75" hidden="false" customHeight="false" outlineLevel="0" collapsed="false">
      <c r="A9" s="1" t="s">
        <v>128</v>
      </c>
      <c r="B9" s="1" t="n">
        <v>230</v>
      </c>
      <c r="C9" s="8" t="n">
        <v>44939</v>
      </c>
      <c r="D9" s="1" t="s">
        <v>14</v>
      </c>
      <c r="E9" s="1" t="n">
        <v>8500</v>
      </c>
      <c r="F9" s="1" t="s">
        <v>127</v>
      </c>
    </row>
    <row r="10" customFormat="false" ht="15.75" hidden="false" customHeight="false" outlineLevel="0" collapsed="false">
      <c r="A10" s="1" t="s">
        <v>122</v>
      </c>
      <c r="B10" s="1"/>
      <c r="C10" s="8"/>
      <c r="D10" s="1" t="s">
        <v>16</v>
      </c>
      <c r="E10" s="1" t="n">
        <v>8500</v>
      </c>
      <c r="F10" s="1" t="s">
        <v>125</v>
      </c>
    </row>
    <row r="11" customFormat="false" ht="15.75" hidden="false" customHeight="false" outlineLevel="0" collapsed="false">
      <c r="A11" s="1" t="s">
        <v>123</v>
      </c>
      <c r="B11" s="1"/>
      <c r="C11" s="8"/>
      <c r="D11" s="1"/>
    </row>
    <row r="12" customFormat="false" ht="15.75" hidden="false" customHeight="false" outlineLevel="0" collapsed="false">
      <c r="A12" s="1" t="s">
        <v>115</v>
      </c>
      <c r="B12" s="1" t="n">
        <v>1000</v>
      </c>
      <c r="C12" s="8" t="n">
        <v>44945</v>
      </c>
      <c r="D12" s="1" t="s">
        <v>18</v>
      </c>
      <c r="E12" s="4" t="n">
        <f aca="false">SUM(E3:E11)</f>
        <v>68000</v>
      </c>
    </row>
    <row r="13" customFormat="false" ht="15.75" hidden="false" customHeight="false" outlineLevel="0" collapsed="false">
      <c r="A13" s="1" t="s">
        <v>115</v>
      </c>
      <c r="B13" s="1" t="n">
        <v>1000</v>
      </c>
      <c r="C13" s="8" t="n">
        <v>44952</v>
      </c>
      <c r="D13" s="1"/>
    </row>
    <row r="14" customFormat="false" ht="15.75" hidden="false" customHeight="false" outlineLevel="0" collapsed="false">
      <c r="A14" s="1" t="s">
        <v>129</v>
      </c>
      <c r="B14" s="1" t="n">
        <v>4000</v>
      </c>
      <c r="C14" s="8" t="n">
        <v>44957</v>
      </c>
      <c r="D14" s="1" t="s">
        <v>61</v>
      </c>
      <c r="E14" s="4" t="n">
        <f aca="false">E12-B17+B1</f>
        <v>56550</v>
      </c>
    </row>
    <row r="15" customFormat="false" ht="15.75" hidden="false" customHeight="false" outlineLevel="0" collapsed="false">
      <c r="A15" s="1"/>
    </row>
    <row r="16" customFormat="false" ht="15.75" hidden="false" customHeight="false" outlineLevel="0" collapsed="false">
      <c r="A16" s="1"/>
      <c r="D16" s="1" t="s">
        <v>64</v>
      </c>
      <c r="E16" s="1" t="n">
        <f aca="false">2452+12000</f>
        <v>14452</v>
      </c>
    </row>
    <row r="17" customFormat="false" ht="15.75" hidden="false" customHeight="false" outlineLevel="0" collapsed="false">
      <c r="A17" s="1" t="s">
        <v>18</v>
      </c>
      <c r="B17" s="4" t="n">
        <f aca="false">SUM(B4:B15)</f>
        <v>27048</v>
      </c>
      <c r="D17" s="1" t="s">
        <v>130</v>
      </c>
      <c r="E17" s="1" t="n">
        <v>42098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1.88"/>
    <col collapsed="false" customWidth="true" hidden="false" outlineLevel="0" max="4" min="4" style="0" width="13.5"/>
  </cols>
  <sheetData>
    <row r="1" customFormat="false" ht="15.75" hidden="false" customHeight="false" outlineLevel="0" collapsed="false">
      <c r="A1" s="1" t="s">
        <v>22</v>
      </c>
      <c r="B1" s="9" t="n">
        <f aca="false">'JAN 2023'!E14</f>
        <v>56550</v>
      </c>
    </row>
    <row r="2" customFormat="false" ht="15.75" hidden="false" customHeight="false" outlineLevel="0" collapsed="false">
      <c r="A2" s="1"/>
      <c r="C2" s="1" t="s">
        <v>47</v>
      </c>
    </row>
    <row r="3" customFormat="false" ht="15.75" hidden="false" customHeight="false" outlineLevel="0" collapsed="false">
      <c r="B3" s="1"/>
      <c r="C3" s="7"/>
      <c r="D3" s="1" t="s">
        <v>2</v>
      </c>
      <c r="E3" s="1" t="n">
        <v>3500</v>
      </c>
    </row>
    <row r="4" customFormat="false" ht="15.75" hidden="false" customHeight="false" outlineLevel="0" collapsed="false">
      <c r="A4" s="1" t="s">
        <v>126</v>
      </c>
      <c r="B4" s="1" t="n">
        <v>11500</v>
      </c>
      <c r="C4" s="8" t="n">
        <v>44956</v>
      </c>
      <c r="D4" s="1" t="s">
        <v>4</v>
      </c>
      <c r="E4" s="1" t="n">
        <v>3500</v>
      </c>
    </row>
    <row r="5" customFormat="false" ht="15.75" hidden="false" customHeight="false" outlineLevel="0" collapsed="false">
      <c r="A5" s="1" t="s">
        <v>72</v>
      </c>
      <c r="B5" s="1" t="n">
        <v>500</v>
      </c>
      <c r="C5" s="8" t="n">
        <v>44959</v>
      </c>
      <c r="D5" s="1" t="s">
        <v>6</v>
      </c>
      <c r="E5" s="1" t="n">
        <v>3500</v>
      </c>
    </row>
    <row r="6" customFormat="false" ht="15.75" hidden="false" customHeight="false" outlineLevel="0" collapsed="false">
      <c r="A6" s="1" t="s">
        <v>129</v>
      </c>
      <c r="B6" s="1"/>
      <c r="C6" s="8"/>
      <c r="D6" s="1" t="s">
        <v>8</v>
      </c>
      <c r="E6" s="1" t="n">
        <v>3500</v>
      </c>
      <c r="F6" s="1"/>
    </row>
    <row r="7" customFormat="false" ht="15.75" hidden="false" customHeight="false" outlineLevel="0" collapsed="false">
      <c r="A7" s="1" t="s">
        <v>15</v>
      </c>
      <c r="B7" s="1" t="n">
        <v>2316</v>
      </c>
      <c r="C7" s="8" t="n">
        <v>44967</v>
      </c>
      <c r="D7" s="1" t="s">
        <v>10</v>
      </c>
      <c r="E7" s="1" t="n">
        <v>3500</v>
      </c>
    </row>
    <row r="8" customFormat="false" ht="15.75" hidden="false" customHeight="false" outlineLevel="0" collapsed="false">
      <c r="A8" s="1" t="s">
        <v>84</v>
      </c>
      <c r="B8" s="1" t="n">
        <v>4137.6</v>
      </c>
      <c r="C8" s="8" t="n">
        <v>44965</v>
      </c>
      <c r="D8" s="1" t="s">
        <v>12</v>
      </c>
      <c r="E8" s="1" t="n">
        <v>3500</v>
      </c>
    </row>
    <row r="9" customFormat="false" ht="15.75" hidden="false" customHeight="false" outlineLevel="0" collapsed="false">
      <c r="A9" s="1" t="s">
        <v>131</v>
      </c>
      <c r="B9" s="1" t="n">
        <v>190</v>
      </c>
      <c r="C9" s="8" t="n">
        <v>44965</v>
      </c>
      <c r="D9" s="1" t="s">
        <v>14</v>
      </c>
      <c r="E9" s="1" t="n">
        <v>3500</v>
      </c>
    </row>
    <row r="10" customFormat="false" ht="15.75" hidden="false" customHeight="false" outlineLevel="0" collapsed="false">
      <c r="A10" s="1" t="s">
        <v>116</v>
      </c>
      <c r="B10" s="1"/>
      <c r="C10" s="8"/>
      <c r="D10" s="1" t="s">
        <v>16</v>
      </c>
      <c r="E10" s="1" t="n">
        <v>3500</v>
      </c>
    </row>
    <row r="11" customFormat="false" ht="15.75" hidden="false" customHeight="false" outlineLevel="0" collapsed="false">
      <c r="A11" s="1" t="s">
        <v>123</v>
      </c>
      <c r="B11" s="1"/>
      <c r="C11" s="8"/>
      <c r="D11" s="1"/>
    </row>
    <row r="12" customFormat="false" ht="15.75" hidden="false" customHeight="false" outlineLevel="0" collapsed="false">
      <c r="A12" s="1" t="s">
        <v>115</v>
      </c>
      <c r="C12" s="8"/>
      <c r="D12" s="1" t="s">
        <v>18</v>
      </c>
      <c r="E12" s="4" t="n">
        <f aca="false">SUM(E3:E11)</f>
        <v>28000</v>
      </c>
    </row>
    <row r="13" customFormat="false" ht="15.75" hidden="false" customHeight="false" outlineLevel="0" collapsed="false">
      <c r="A13" s="1" t="s">
        <v>115</v>
      </c>
      <c r="C13" s="8"/>
      <c r="D13" s="1"/>
    </row>
    <row r="14" customFormat="false" ht="15.75" hidden="false" customHeight="false" outlineLevel="0" collapsed="false">
      <c r="A14" s="1"/>
      <c r="D14" s="1" t="s">
        <v>61</v>
      </c>
      <c r="E14" s="4" t="n">
        <f aca="false">E12-B17+B1</f>
        <v>65906.4</v>
      </c>
    </row>
    <row r="15" customFormat="false" ht="15.75" hidden="false" customHeight="false" outlineLevel="0" collapsed="false">
      <c r="A15" s="1"/>
    </row>
    <row r="16" customFormat="false" ht="15.75" hidden="false" customHeight="false" outlineLevel="0" collapsed="false">
      <c r="A16" s="1"/>
      <c r="D16" s="1" t="s">
        <v>64</v>
      </c>
      <c r="E16" s="1" t="n">
        <f aca="false">'JAN 2023'!E16-B4-B5-B9</f>
        <v>2262</v>
      </c>
    </row>
    <row r="17" customFormat="false" ht="15.75" hidden="false" customHeight="false" outlineLevel="0" collapsed="false">
      <c r="A17" s="1" t="s">
        <v>18</v>
      </c>
      <c r="B17" s="4" t="n">
        <f aca="false">SUM(B4:B15)</f>
        <v>18643.6</v>
      </c>
      <c r="D17" s="1" t="s">
        <v>130</v>
      </c>
      <c r="E17" s="1" t="n">
        <f aca="false">'JAN 2023'!E17+E12-B7-B8</f>
        <v>63644.4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1.88"/>
    <col collapsed="false" customWidth="true" hidden="false" outlineLevel="0" max="4" min="4" style="0" width="13.5"/>
  </cols>
  <sheetData>
    <row r="1" customFormat="false" ht="15.75" hidden="false" customHeight="false" outlineLevel="0" collapsed="false">
      <c r="A1" s="1" t="s">
        <v>22</v>
      </c>
      <c r="B1" s="9" t="n">
        <f aca="false">'FEB 2023'!E14</f>
        <v>65906.4</v>
      </c>
    </row>
    <row r="2" customFormat="false" ht="15.75" hidden="false" customHeight="false" outlineLevel="0" collapsed="false">
      <c r="A2" s="1"/>
      <c r="C2" s="1" t="s">
        <v>47</v>
      </c>
    </row>
    <row r="3" customFormat="false" ht="15.75" hidden="false" customHeight="false" outlineLevel="0" collapsed="false">
      <c r="B3" s="1"/>
      <c r="C3" s="7"/>
      <c r="D3" s="1" t="s">
        <v>2</v>
      </c>
      <c r="E3" s="1" t="n">
        <v>8500</v>
      </c>
      <c r="F3" s="1" t="s">
        <v>64</v>
      </c>
    </row>
    <row r="4" customFormat="false" ht="15.75" hidden="false" customHeight="false" outlineLevel="0" collapsed="false">
      <c r="A4" s="1" t="s">
        <v>126</v>
      </c>
      <c r="B4" s="1" t="n">
        <v>13500</v>
      </c>
      <c r="C4" s="8" t="n">
        <v>44986</v>
      </c>
      <c r="D4" s="1" t="s">
        <v>4</v>
      </c>
      <c r="E4" s="1" t="n">
        <v>8500</v>
      </c>
    </row>
    <row r="5" customFormat="false" ht="15.75" hidden="false" customHeight="false" outlineLevel="0" collapsed="false">
      <c r="A5" s="1" t="s">
        <v>72</v>
      </c>
      <c r="B5" s="1" t="n">
        <v>500</v>
      </c>
      <c r="C5" s="8" t="n">
        <v>44986</v>
      </c>
      <c r="D5" s="1" t="s">
        <v>6</v>
      </c>
      <c r="E5" s="1" t="n">
        <v>8500</v>
      </c>
    </row>
    <row r="6" customFormat="false" ht="15.75" hidden="false" customHeight="false" outlineLevel="0" collapsed="false">
      <c r="A6" s="1" t="s">
        <v>132</v>
      </c>
      <c r="B6" s="1" t="n">
        <v>500</v>
      </c>
      <c r="C6" s="8" t="n">
        <v>44986</v>
      </c>
      <c r="D6" s="1" t="s">
        <v>8</v>
      </c>
      <c r="E6" s="1" t="n">
        <v>8500</v>
      </c>
      <c r="F6" s="1" t="s">
        <v>64</v>
      </c>
    </row>
    <row r="7" customFormat="false" ht="15.75" hidden="false" customHeight="false" outlineLevel="0" collapsed="false">
      <c r="A7" s="1" t="s">
        <v>133</v>
      </c>
      <c r="B7" s="1" t="n">
        <v>80</v>
      </c>
      <c r="C7" s="8" t="n">
        <v>44987</v>
      </c>
      <c r="D7" s="1" t="s">
        <v>10</v>
      </c>
      <c r="E7" s="1" t="n">
        <v>8500</v>
      </c>
    </row>
    <row r="8" customFormat="false" ht="15.75" hidden="false" customHeight="false" outlineLevel="0" collapsed="false">
      <c r="A8" s="1" t="s">
        <v>84</v>
      </c>
      <c r="B8" s="1" t="n">
        <v>3978</v>
      </c>
      <c r="C8" s="8" t="n">
        <v>44991</v>
      </c>
      <c r="D8" s="1" t="s">
        <v>12</v>
      </c>
      <c r="E8" s="1" t="n">
        <v>8500</v>
      </c>
    </row>
    <row r="9" customFormat="false" ht="15.75" hidden="false" customHeight="false" outlineLevel="0" collapsed="false">
      <c r="A9" s="1" t="s">
        <v>15</v>
      </c>
      <c r="B9" s="1" t="n">
        <v>2228</v>
      </c>
      <c r="C9" s="8" t="n">
        <v>44992</v>
      </c>
      <c r="D9" s="1" t="s">
        <v>14</v>
      </c>
      <c r="E9" s="1" t="n">
        <v>8500</v>
      </c>
    </row>
    <row r="10" customFormat="false" ht="15.75" hidden="false" customHeight="false" outlineLevel="0" collapsed="false">
      <c r="A10" s="1" t="s">
        <v>116</v>
      </c>
      <c r="B10" s="1" t="n">
        <v>1500</v>
      </c>
      <c r="C10" s="8" t="n">
        <v>45000</v>
      </c>
      <c r="D10" s="1" t="s">
        <v>16</v>
      </c>
      <c r="E10" s="1" t="n">
        <v>8500</v>
      </c>
    </row>
    <row r="11" customFormat="false" ht="15.75" hidden="false" customHeight="false" outlineLevel="0" collapsed="false">
      <c r="A11" s="1" t="s">
        <v>60</v>
      </c>
      <c r="B11" s="1" t="n">
        <v>2000</v>
      </c>
      <c r="C11" s="8" t="n">
        <v>45003</v>
      </c>
      <c r="D11" s="1"/>
    </row>
    <row r="12" customFormat="false" ht="15.75" hidden="false" customHeight="false" outlineLevel="0" collapsed="false">
      <c r="A12" s="1" t="s">
        <v>134</v>
      </c>
      <c r="B12" s="1" t="n">
        <v>1000</v>
      </c>
      <c r="C12" s="8"/>
      <c r="D12" s="1" t="s">
        <v>18</v>
      </c>
      <c r="E12" s="4" t="n">
        <f aca="false">SUM(E3:E11)</f>
        <v>68000</v>
      </c>
    </row>
    <row r="13" customFormat="false" ht="15.75" hidden="false" customHeight="false" outlineLevel="0" collapsed="false">
      <c r="A13" s="1" t="s">
        <v>24</v>
      </c>
      <c r="B13" s="1" t="n">
        <v>1500</v>
      </c>
      <c r="C13" s="8" t="n">
        <v>45012</v>
      </c>
      <c r="D13" s="1"/>
    </row>
    <row r="14" customFormat="false" ht="15.75" hidden="false" customHeight="false" outlineLevel="0" collapsed="false">
      <c r="A14" s="1" t="s">
        <v>135</v>
      </c>
      <c r="B14" s="1" t="n">
        <v>25000</v>
      </c>
      <c r="C14" s="8" t="n">
        <v>45013</v>
      </c>
      <c r="D14" s="1" t="s">
        <v>61</v>
      </c>
      <c r="E14" s="4" t="n">
        <f aca="false">E12-B17+B1</f>
        <v>32120.4</v>
      </c>
    </row>
    <row r="15" customFormat="false" ht="15.75" hidden="false" customHeight="false" outlineLevel="0" collapsed="false">
      <c r="A15" s="1" t="s">
        <v>135</v>
      </c>
      <c r="B15" s="1" t="n">
        <v>50000</v>
      </c>
      <c r="C15" s="8" t="n">
        <v>45013</v>
      </c>
    </row>
    <row r="16" customFormat="false" ht="15.75" hidden="false" customHeight="false" outlineLevel="0" collapsed="false">
      <c r="A16" s="1"/>
      <c r="D16" s="1" t="s">
        <v>64</v>
      </c>
      <c r="E16" s="1" t="n">
        <f aca="false">'FEB 2023'!E16+E3+E6-B4-B5-B6-B7-B11</f>
        <v>2682</v>
      </c>
    </row>
    <row r="17" customFormat="false" ht="15.75" hidden="false" customHeight="false" outlineLevel="0" collapsed="false">
      <c r="A17" s="1" t="s">
        <v>18</v>
      </c>
      <c r="B17" s="4" t="n">
        <f aca="false">SUM(B4:B15)</f>
        <v>101786</v>
      </c>
      <c r="D17" s="1" t="s">
        <v>130</v>
      </c>
      <c r="E17" s="1" t="n">
        <f aca="false">'FEB 2023'!E17+E12-E3-E6-B8-B9-B10-B12-B13-B14-B15</f>
        <v>29438.4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1.88"/>
    <col collapsed="false" customWidth="true" hidden="false" outlineLevel="0" max="4" min="4" style="0" width="13.5"/>
    <col collapsed="false" customWidth="true" hidden="false" outlineLevel="0" max="6" min="6" style="0" width="22.24"/>
  </cols>
  <sheetData>
    <row r="1" customFormat="false" ht="15.75" hidden="false" customHeight="false" outlineLevel="0" collapsed="false">
      <c r="A1" s="1" t="s">
        <v>22</v>
      </c>
      <c r="B1" s="9" t="n">
        <f aca="false">'March 2023'!E14</f>
        <v>32120.4</v>
      </c>
    </row>
    <row r="2" customFormat="false" ht="15.75" hidden="false" customHeight="false" outlineLevel="0" collapsed="false">
      <c r="A2" s="1"/>
      <c r="C2" s="1" t="s">
        <v>47</v>
      </c>
    </row>
    <row r="3" customFormat="false" ht="15.75" hidden="false" customHeight="false" outlineLevel="0" collapsed="false">
      <c r="B3" s="1"/>
      <c r="C3" s="7"/>
      <c r="D3" s="1" t="s">
        <v>2</v>
      </c>
      <c r="E3" s="1" t="n">
        <v>8500</v>
      </c>
      <c r="F3" s="1" t="s">
        <v>64</v>
      </c>
    </row>
    <row r="4" customFormat="false" ht="15.75" hidden="false" customHeight="false" outlineLevel="0" collapsed="false">
      <c r="A4" s="1" t="s">
        <v>126</v>
      </c>
      <c r="B4" s="1" t="n">
        <v>11500</v>
      </c>
      <c r="C4" s="8" t="n">
        <v>45017</v>
      </c>
      <c r="D4" s="1" t="s">
        <v>4</v>
      </c>
      <c r="E4" s="1" t="n">
        <v>8500</v>
      </c>
    </row>
    <row r="5" customFormat="false" ht="15.75" hidden="false" customHeight="false" outlineLevel="0" collapsed="false">
      <c r="A5" s="1" t="s">
        <v>72</v>
      </c>
      <c r="B5" s="1" t="n">
        <v>500</v>
      </c>
      <c r="C5" s="8" t="n">
        <v>45017</v>
      </c>
      <c r="D5" s="1" t="s">
        <v>6</v>
      </c>
      <c r="E5" s="1" t="n">
        <v>8500</v>
      </c>
    </row>
    <row r="6" customFormat="false" ht="15.75" hidden="false" customHeight="false" outlineLevel="0" collapsed="false">
      <c r="A6" s="1" t="s">
        <v>84</v>
      </c>
      <c r="B6" s="1" t="n">
        <v>4300</v>
      </c>
      <c r="C6" s="8" t="n">
        <v>45028</v>
      </c>
      <c r="D6" s="1" t="s">
        <v>8</v>
      </c>
      <c r="E6" s="1" t="n">
        <v>8500</v>
      </c>
    </row>
    <row r="7" customFormat="false" ht="15.75" hidden="false" customHeight="false" outlineLevel="0" collapsed="false">
      <c r="A7" s="1" t="s">
        <v>15</v>
      </c>
      <c r="B7" s="1" t="n">
        <v>2272</v>
      </c>
      <c r="C7" s="8" t="n">
        <v>45026</v>
      </c>
      <c r="D7" s="1" t="s">
        <v>10</v>
      </c>
      <c r="E7" s="1" t="n">
        <v>8500</v>
      </c>
    </row>
    <row r="8" customFormat="false" ht="15.75" hidden="false" customHeight="false" outlineLevel="0" collapsed="false">
      <c r="A8" s="1" t="s">
        <v>116</v>
      </c>
      <c r="B8" s="1" t="n">
        <v>2000</v>
      </c>
      <c r="C8" s="8" t="n">
        <v>45030</v>
      </c>
      <c r="D8" s="1" t="s">
        <v>12</v>
      </c>
      <c r="E8" s="1" t="n">
        <v>8500</v>
      </c>
    </row>
    <row r="9" customFormat="false" ht="15.75" hidden="false" customHeight="false" outlineLevel="0" collapsed="false">
      <c r="A9" s="1" t="s">
        <v>136</v>
      </c>
      <c r="B9" s="1" t="n">
        <v>2000</v>
      </c>
      <c r="C9" s="8" t="n">
        <v>45036</v>
      </c>
      <c r="D9" s="1" t="s">
        <v>14</v>
      </c>
      <c r="E9" s="1" t="n">
        <v>8500</v>
      </c>
    </row>
    <row r="10" customFormat="false" ht="15.75" hidden="false" customHeight="false" outlineLevel="0" collapsed="false">
      <c r="A10" s="1" t="s">
        <v>137</v>
      </c>
      <c r="B10" s="1" t="n">
        <v>1600</v>
      </c>
      <c r="C10" s="8" t="n">
        <v>45042</v>
      </c>
      <c r="D10" s="1" t="s">
        <v>16</v>
      </c>
      <c r="E10" s="1" t="n">
        <v>8500</v>
      </c>
    </row>
    <row r="11" customFormat="false" ht="15.75" hidden="false" customHeight="false" outlineLevel="0" collapsed="false">
      <c r="C11" s="8"/>
      <c r="D11" s="1" t="s">
        <v>138</v>
      </c>
      <c r="E11" s="1" t="n">
        <v>525</v>
      </c>
    </row>
    <row r="12" customFormat="false" ht="15.75" hidden="false" customHeight="false" outlineLevel="0" collapsed="false">
      <c r="C12" s="8"/>
      <c r="D12" s="1" t="s">
        <v>139</v>
      </c>
      <c r="E12" s="1" t="n">
        <v>10000</v>
      </c>
    </row>
    <row r="13" customFormat="false" ht="15.75" hidden="false" customHeight="false" outlineLevel="0" collapsed="false">
      <c r="C13" s="8"/>
      <c r="D13" s="1" t="s">
        <v>18</v>
      </c>
      <c r="E13" s="4" t="n">
        <f aca="false">SUM(E3:E12)</f>
        <v>78525</v>
      </c>
    </row>
    <row r="14" customFormat="false" ht="15.75" hidden="false" customHeight="false" outlineLevel="0" collapsed="false">
      <c r="C14" s="8"/>
      <c r="D14" s="1"/>
    </row>
    <row r="15" customFormat="false" ht="15.75" hidden="false" customHeight="false" outlineLevel="0" collapsed="false">
      <c r="C15" s="8"/>
    </row>
    <row r="16" customFormat="false" ht="15.75" hidden="false" customHeight="false" outlineLevel="0" collapsed="false">
      <c r="C16" s="8"/>
    </row>
    <row r="17" customFormat="false" ht="15.75" hidden="false" customHeight="false" outlineLevel="0" collapsed="false">
      <c r="A17" s="1"/>
      <c r="D17" s="1" t="s">
        <v>64</v>
      </c>
      <c r="E17" s="1" t="n">
        <f aca="false">'March 2023'!E16+E3+B5-B4-B5+318</f>
        <v>0</v>
      </c>
      <c r="F17" s="1" t="s">
        <v>140</v>
      </c>
    </row>
    <row r="18" customFormat="false" ht="15.75" hidden="false" customHeight="false" outlineLevel="0" collapsed="false">
      <c r="A18" s="1" t="s">
        <v>18</v>
      </c>
      <c r="B18" s="4" t="n">
        <f aca="false">SUM(B4:B16)</f>
        <v>24172</v>
      </c>
      <c r="D18" s="1" t="s">
        <v>130</v>
      </c>
      <c r="E18" s="13" t="n">
        <v>86973.4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" t="n">
        <v>86973.4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 t="s">
        <v>2</v>
      </c>
      <c r="E4" s="1" t="n">
        <v>3500</v>
      </c>
    </row>
    <row r="5" customFormat="false" ht="15.75" hidden="false" customHeight="false" outlineLevel="0" collapsed="false">
      <c r="A5" s="1" t="s">
        <v>126</v>
      </c>
      <c r="B5" s="1" t="n">
        <v>11500</v>
      </c>
      <c r="C5" s="8" t="n">
        <v>45047</v>
      </c>
      <c r="D5" s="1" t="s">
        <v>4</v>
      </c>
      <c r="E5" s="1" t="n">
        <v>3500</v>
      </c>
    </row>
    <row r="6" customFormat="false" ht="15.75" hidden="false" customHeight="false" outlineLevel="0" collapsed="false">
      <c r="A6" s="1" t="s">
        <v>72</v>
      </c>
      <c r="B6" s="1" t="n">
        <v>500</v>
      </c>
      <c r="C6" s="8" t="n">
        <v>45047</v>
      </c>
      <c r="D6" s="1" t="s">
        <v>6</v>
      </c>
      <c r="E6" s="1" t="n">
        <v>3500</v>
      </c>
    </row>
    <row r="7" customFormat="false" ht="15.75" hidden="false" customHeight="false" outlineLevel="0" collapsed="false">
      <c r="A7" s="1" t="s">
        <v>84</v>
      </c>
      <c r="B7" s="1" t="n">
        <v>3902</v>
      </c>
      <c r="C7" s="8" t="n">
        <v>45052</v>
      </c>
      <c r="D7" s="1" t="s">
        <v>8</v>
      </c>
      <c r="E7" s="1" t="n">
        <v>3500</v>
      </c>
    </row>
    <row r="8" customFormat="false" ht="15.75" hidden="false" customHeight="false" outlineLevel="0" collapsed="false">
      <c r="A8" s="1" t="s">
        <v>15</v>
      </c>
      <c r="B8" s="1" t="n">
        <v>2228</v>
      </c>
      <c r="C8" s="8" t="n">
        <v>45056</v>
      </c>
      <c r="D8" s="1" t="s">
        <v>10</v>
      </c>
      <c r="E8" s="1" t="n">
        <v>3500</v>
      </c>
    </row>
    <row r="9" customFormat="false" ht="15.75" hidden="false" customHeight="false" outlineLevel="0" collapsed="false">
      <c r="A9" s="1" t="s">
        <v>116</v>
      </c>
      <c r="B9" s="1" t="n">
        <v>1500</v>
      </c>
      <c r="C9" s="8" t="n">
        <v>45065</v>
      </c>
      <c r="D9" s="1" t="s">
        <v>12</v>
      </c>
      <c r="E9" s="1" t="n">
        <v>3500</v>
      </c>
    </row>
    <row r="10" customFormat="false" ht="15.75" hidden="false" customHeight="false" outlineLevel="0" collapsed="false">
      <c r="A10" s="1" t="s">
        <v>142</v>
      </c>
      <c r="B10" s="1" t="n">
        <v>500</v>
      </c>
      <c r="C10" s="8" t="n">
        <v>45076</v>
      </c>
      <c r="D10" s="1" t="s">
        <v>14</v>
      </c>
      <c r="E10" s="1" t="n">
        <v>3500</v>
      </c>
    </row>
    <row r="11" customFormat="false" ht="15.75" hidden="false" customHeight="false" outlineLevel="0" collapsed="false">
      <c r="A11" s="1" t="s">
        <v>143</v>
      </c>
      <c r="B11" s="1" t="n">
        <v>48000</v>
      </c>
      <c r="C11" s="8" t="n">
        <v>45048</v>
      </c>
      <c r="D11" s="1" t="s">
        <v>16</v>
      </c>
      <c r="E11" s="1" t="n">
        <v>3500</v>
      </c>
    </row>
    <row r="12" customFormat="false" ht="15.75" hidden="false" customHeight="false" outlineLevel="0" collapsed="false">
      <c r="A12" s="1" t="s">
        <v>144</v>
      </c>
      <c r="B12" s="1" t="n">
        <v>12000</v>
      </c>
      <c r="C12" s="8" t="n">
        <v>45048</v>
      </c>
      <c r="D12" s="1" t="s">
        <v>138</v>
      </c>
      <c r="E12" s="1" t="n">
        <v>0</v>
      </c>
    </row>
    <row r="13" customFormat="false" ht="15.75" hidden="false" customHeight="false" outlineLevel="0" collapsed="false">
      <c r="A13" s="1" t="s">
        <v>145</v>
      </c>
      <c r="B13" s="1" t="n">
        <v>60</v>
      </c>
      <c r="C13" s="8" t="n">
        <v>45052</v>
      </c>
      <c r="D13" s="1" t="s">
        <v>18</v>
      </c>
      <c r="E13" s="4" t="n">
        <f aca="false">SUM(E4:E12)</f>
        <v>28000</v>
      </c>
    </row>
    <row r="14" customFormat="false" ht="15.75" hidden="false" customHeight="false" outlineLevel="0" collapsed="false">
      <c r="A14" s="1" t="s">
        <v>146</v>
      </c>
      <c r="B14" s="1" t="n">
        <v>2000</v>
      </c>
      <c r="C14" s="8" t="n">
        <v>45055</v>
      </c>
      <c r="D14" s="1"/>
    </row>
    <row r="15" customFormat="false" ht="15.75" hidden="false" customHeight="false" outlineLevel="0" collapsed="false">
      <c r="A15" s="1" t="s">
        <v>147</v>
      </c>
      <c r="B15" s="1" t="n">
        <v>170</v>
      </c>
      <c r="C15" s="8" t="n">
        <v>45056</v>
      </c>
    </row>
    <row r="16" customFormat="false" ht="15.75" hidden="false" customHeight="false" outlineLevel="0" collapsed="false">
      <c r="A16" s="1" t="s">
        <v>148</v>
      </c>
      <c r="B16" s="1" t="n">
        <v>600</v>
      </c>
      <c r="C16" s="8" t="n">
        <v>45076</v>
      </c>
      <c r="D16" s="1" t="s">
        <v>64</v>
      </c>
      <c r="E16" s="1" t="n">
        <v>0</v>
      </c>
    </row>
    <row r="17" customFormat="false" ht="15.75" hidden="false" customHeight="false" outlineLevel="0" collapsed="false">
      <c r="A17" s="1" t="s">
        <v>18</v>
      </c>
      <c r="B17" s="4" t="n">
        <f aca="false">SUM(B5:B16)</f>
        <v>82960</v>
      </c>
      <c r="D17" s="1" t="s">
        <v>130</v>
      </c>
      <c r="E17" s="14" t="n">
        <v>32013.4</v>
      </c>
      <c r="F17" s="1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" t="n">
        <v>32013.4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 t="s">
        <v>2</v>
      </c>
      <c r="E4" s="1" t="n">
        <v>3500</v>
      </c>
    </row>
    <row r="5" customFormat="false" ht="15.75" hidden="false" customHeight="false" outlineLevel="0" collapsed="false">
      <c r="A5" s="1" t="s">
        <v>126</v>
      </c>
      <c r="B5" s="1" t="n">
        <v>13500</v>
      </c>
      <c r="C5" s="8" t="n">
        <v>45078</v>
      </c>
      <c r="D5" s="1" t="s">
        <v>4</v>
      </c>
      <c r="E5" s="1" t="n">
        <v>3500</v>
      </c>
    </row>
    <row r="6" customFormat="false" ht="15.75" hidden="false" customHeight="false" outlineLevel="0" collapsed="false">
      <c r="A6" s="1" t="s">
        <v>149</v>
      </c>
      <c r="B6" s="1" t="n">
        <v>6500</v>
      </c>
      <c r="C6" s="8" t="n">
        <v>45081</v>
      </c>
      <c r="D6" s="1" t="s">
        <v>6</v>
      </c>
      <c r="E6" s="1" t="n">
        <v>3500</v>
      </c>
    </row>
    <row r="7" customFormat="false" ht="15.75" hidden="false" customHeight="false" outlineLevel="0" collapsed="false">
      <c r="A7" s="1" t="s">
        <v>150</v>
      </c>
      <c r="B7" s="1" t="n">
        <v>400</v>
      </c>
      <c r="C7" s="8" t="n">
        <v>45082</v>
      </c>
      <c r="D7" s="1" t="s">
        <v>8</v>
      </c>
      <c r="E7" s="1" t="n">
        <v>3500</v>
      </c>
    </row>
    <row r="8" customFormat="false" ht="15.75" hidden="false" customHeight="false" outlineLevel="0" collapsed="false">
      <c r="A8" s="1" t="s">
        <v>84</v>
      </c>
      <c r="B8" s="1" t="n">
        <v>5114</v>
      </c>
      <c r="C8" s="8" t="n">
        <v>45087</v>
      </c>
      <c r="D8" s="1" t="s">
        <v>10</v>
      </c>
      <c r="E8" s="1" t="n">
        <v>3500</v>
      </c>
    </row>
    <row r="9" customFormat="false" ht="15.75" hidden="false" customHeight="false" outlineLevel="0" collapsed="false">
      <c r="A9" s="1" t="s">
        <v>15</v>
      </c>
      <c r="B9" s="1" t="n">
        <v>2272</v>
      </c>
      <c r="C9" s="8" t="n">
        <v>45086</v>
      </c>
      <c r="D9" s="1" t="s">
        <v>12</v>
      </c>
      <c r="E9" s="1" t="n">
        <v>3500</v>
      </c>
    </row>
    <row r="10" customFormat="false" ht="15.75" hidden="false" customHeight="false" outlineLevel="0" collapsed="false">
      <c r="A10" s="1" t="s">
        <v>151</v>
      </c>
      <c r="B10" s="1" t="n">
        <v>4000</v>
      </c>
      <c r="C10" s="8" t="n">
        <v>45086</v>
      </c>
      <c r="D10" s="1" t="s">
        <v>14</v>
      </c>
      <c r="E10" s="1" t="n">
        <v>3500</v>
      </c>
    </row>
    <row r="11" customFormat="false" ht="15.75" hidden="false" customHeight="false" outlineLevel="0" collapsed="false">
      <c r="A11" s="1" t="s">
        <v>152</v>
      </c>
      <c r="B11" s="1" t="n">
        <v>385</v>
      </c>
      <c r="C11" s="8" t="n">
        <v>45102</v>
      </c>
      <c r="D11" s="1" t="s">
        <v>16</v>
      </c>
      <c r="E11" s="1" t="n">
        <v>3500</v>
      </c>
    </row>
    <row r="12" customFormat="false" ht="15.75" hidden="false" customHeight="false" outlineLevel="0" collapsed="false">
      <c r="A12" s="1" t="s">
        <v>153</v>
      </c>
      <c r="B12" s="1" t="n">
        <v>2272</v>
      </c>
      <c r="C12" s="8" t="n">
        <v>45095</v>
      </c>
      <c r="D12" s="1" t="s">
        <v>138</v>
      </c>
      <c r="E12" s="1" t="n">
        <v>0</v>
      </c>
    </row>
    <row r="13" customFormat="false" ht="15.75" hidden="false" customHeight="false" outlineLevel="0" collapsed="false">
      <c r="A13" s="1" t="s">
        <v>154</v>
      </c>
      <c r="B13" s="1" t="n">
        <v>2200</v>
      </c>
      <c r="C13" s="8" t="n">
        <v>45102</v>
      </c>
      <c r="D13" s="1" t="s">
        <v>18</v>
      </c>
      <c r="E13" s="4" t="n">
        <f aca="false">SUM(E4:E12)</f>
        <v>28000</v>
      </c>
    </row>
    <row r="14" customFormat="false" ht="15.75" hidden="false" customHeight="false" outlineLevel="0" collapsed="false">
      <c r="A14" s="1" t="s">
        <v>155</v>
      </c>
      <c r="B14" s="1" t="n">
        <v>608</v>
      </c>
      <c r="C14" s="8" t="n">
        <v>45089</v>
      </c>
      <c r="D14" s="1"/>
    </row>
    <row r="15" customFormat="false" ht="15.75" hidden="false" customHeight="false" outlineLevel="0" collapsed="false">
      <c r="D15" s="1"/>
      <c r="E15" s="1"/>
    </row>
    <row r="16" customFormat="false" ht="15.75" hidden="false" customHeight="false" outlineLevel="0" collapsed="false">
      <c r="C16" s="8"/>
      <c r="D16" s="1" t="s">
        <v>64</v>
      </c>
      <c r="E16" s="1" t="n">
        <v>0</v>
      </c>
    </row>
    <row r="17" customFormat="false" ht="15.75" hidden="false" customHeight="false" outlineLevel="0" collapsed="false">
      <c r="A17" s="1" t="s">
        <v>18</v>
      </c>
      <c r="B17" s="4" t="n">
        <f aca="false">SUM(B5:B16)</f>
        <v>37251</v>
      </c>
      <c r="D17" s="1" t="s">
        <v>130</v>
      </c>
      <c r="E17" s="14" t="n">
        <v>22744.7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8.25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" t="n">
        <v>22744.7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 t="s">
        <v>2</v>
      </c>
      <c r="E4" s="1" t="n">
        <v>3500</v>
      </c>
    </row>
    <row r="5" customFormat="false" ht="15.75" hidden="false" customHeight="false" outlineLevel="0" collapsed="false">
      <c r="A5" s="1" t="s">
        <v>126</v>
      </c>
      <c r="B5" s="1" t="n">
        <v>13500</v>
      </c>
      <c r="C5" s="8" t="n">
        <v>45078</v>
      </c>
      <c r="D5" s="1" t="s">
        <v>4</v>
      </c>
      <c r="E5" s="1" t="n">
        <v>3500</v>
      </c>
    </row>
    <row r="6" customFormat="false" ht="15.75" hidden="false" customHeight="false" outlineLevel="0" collapsed="false">
      <c r="A6" s="1" t="s">
        <v>156</v>
      </c>
      <c r="B6" s="1" t="n">
        <v>500</v>
      </c>
      <c r="C6" s="8" t="n">
        <v>45081</v>
      </c>
      <c r="D6" s="1" t="s">
        <v>6</v>
      </c>
      <c r="E6" s="1" t="n">
        <v>3500</v>
      </c>
    </row>
    <row r="7" customFormat="false" ht="15.75" hidden="false" customHeight="false" outlineLevel="0" collapsed="false">
      <c r="A7" s="1" t="s">
        <v>84</v>
      </c>
      <c r="B7" s="1" t="n">
        <v>4115</v>
      </c>
      <c r="C7" s="8" t="n">
        <v>45082</v>
      </c>
      <c r="D7" s="1" t="s">
        <v>8</v>
      </c>
      <c r="E7" s="1" t="n">
        <v>3500</v>
      </c>
    </row>
    <row r="8" customFormat="false" ht="15.75" hidden="false" customHeight="false" outlineLevel="0" collapsed="false">
      <c r="A8" s="1" t="s">
        <v>15</v>
      </c>
      <c r="B8" s="1" t="n">
        <v>22</v>
      </c>
      <c r="C8" s="8" t="n">
        <v>45087</v>
      </c>
      <c r="D8" s="1" t="s">
        <v>10</v>
      </c>
      <c r="E8" s="1" t="n">
        <v>3500</v>
      </c>
    </row>
    <row r="9" customFormat="false" ht="15.75" hidden="false" customHeight="false" outlineLevel="0" collapsed="false">
      <c r="A9" s="1" t="s">
        <v>93</v>
      </c>
      <c r="B9" s="1" t="n">
        <v>2000</v>
      </c>
      <c r="C9" s="8" t="n">
        <v>45136</v>
      </c>
      <c r="D9" s="1" t="s">
        <v>12</v>
      </c>
      <c r="E9" s="1" t="n">
        <v>3500</v>
      </c>
    </row>
    <row r="10" customFormat="false" ht="15.75" hidden="false" customHeight="false" outlineLevel="0" collapsed="false">
      <c r="A10" s="1" t="s">
        <v>157</v>
      </c>
      <c r="B10" s="1" t="n">
        <v>11000</v>
      </c>
      <c r="C10" s="8" t="n">
        <v>45086</v>
      </c>
      <c r="D10" s="1" t="s">
        <v>14</v>
      </c>
      <c r="E10" s="1" t="n">
        <v>3500</v>
      </c>
    </row>
    <row r="11" customFormat="false" ht="15.75" hidden="false" customHeight="false" outlineLevel="0" collapsed="false">
      <c r="A11" s="1" t="s">
        <v>158</v>
      </c>
      <c r="B11" s="1" t="n">
        <v>200</v>
      </c>
      <c r="C11" s="8" t="n">
        <v>45136</v>
      </c>
      <c r="D11" s="1" t="s">
        <v>16</v>
      </c>
      <c r="E11" s="1" t="n">
        <v>3500</v>
      </c>
    </row>
    <row r="12" customFormat="false" ht="15.75" hidden="false" customHeight="false" outlineLevel="0" collapsed="false">
      <c r="A12" s="1" t="s">
        <v>159</v>
      </c>
      <c r="B12" s="1" t="n">
        <v>70</v>
      </c>
      <c r="C12" s="8" t="n">
        <v>45095</v>
      </c>
      <c r="D12" s="1" t="s">
        <v>138</v>
      </c>
      <c r="E12" s="1" t="n">
        <v>365</v>
      </c>
    </row>
    <row r="13" customFormat="false" ht="15.75" hidden="false" customHeight="false" outlineLevel="0" collapsed="false">
      <c r="C13" s="8" t="n">
        <v>45102</v>
      </c>
      <c r="D13" s="1" t="s">
        <v>18</v>
      </c>
      <c r="E13" s="4" t="n">
        <f aca="false">SUM(E4:E12)</f>
        <v>28365</v>
      </c>
    </row>
    <row r="14" customFormat="false" ht="15.75" hidden="false" customHeight="false" outlineLevel="0" collapsed="false">
      <c r="C14" s="8" t="n">
        <v>45089</v>
      </c>
      <c r="D14" s="1"/>
    </row>
    <row r="15" customFormat="false" ht="15.75" hidden="false" customHeight="false" outlineLevel="0" collapsed="false">
      <c r="D15" s="1"/>
      <c r="E15" s="1"/>
    </row>
    <row r="16" customFormat="false" ht="15.75" hidden="false" customHeight="false" outlineLevel="0" collapsed="false">
      <c r="C16" s="8"/>
      <c r="D16" s="1" t="s">
        <v>64</v>
      </c>
      <c r="E16" s="1" t="n">
        <v>0</v>
      </c>
    </row>
    <row r="17" customFormat="false" ht="15.75" hidden="false" customHeight="false" outlineLevel="0" collapsed="false">
      <c r="A17" s="1" t="s">
        <v>18</v>
      </c>
      <c r="B17" s="4" t="n">
        <f aca="false">SUM(B5:B16)</f>
        <v>31407</v>
      </c>
      <c r="D17" s="1" t="s">
        <v>130</v>
      </c>
      <c r="E17" s="13" t="n">
        <f aca="false">19713</f>
        <v>19713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32.75"/>
    <col collapsed="false" customWidth="true" hidden="false" outlineLevel="0" max="5" min="5" style="0" width="13.37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" t="n">
        <v>19713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1" t="n">
        <v>3500</v>
      </c>
    </row>
    <row r="5" customFormat="false" ht="15.75" hidden="false" customHeight="false" outlineLevel="0" collapsed="false">
      <c r="A5" s="1" t="s">
        <v>126</v>
      </c>
      <c r="B5" s="1" t="n">
        <v>13500</v>
      </c>
      <c r="C5" s="8" t="n">
        <v>45139</v>
      </c>
      <c r="D5" s="1"/>
      <c r="E5" s="1" t="s">
        <v>4</v>
      </c>
      <c r="F5" s="1" t="n">
        <v>3500</v>
      </c>
    </row>
    <row r="6" customFormat="false" ht="15.75" hidden="false" customHeight="false" outlineLevel="0" collapsed="false">
      <c r="A6" s="1" t="s">
        <v>156</v>
      </c>
      <c r="B6" s="1" t="n">
        <v>500</v>
      </c>
      <c r="C6" s="8" t="n">
        <v>45139</v>
      </c>
      <c r="D6" s="1"/>
      <c r="E6" s="1" t="s">
        <v>6</v>
      </c>
      <c r="F6" s="1" t="n">
        <v>3500</v>
      </c>
    </row>
    <row r="7" customFormat="false" ht="15.75" hidden="false" customHeight="false" outlineLevel="0" collapsed="false">
      <c r="A7" s="1" t="s">
        <v>84</v>
      </c>
      <c r="B7" s="1" t="n">
        <v>5562</v>
      </c>
      <c r="C7" s="8" t="n">
        <v>45145</v>
      </c>
      <c r="D7" s="1"/>
      <c r="E7" s="1" t="s">
        <v>8</v>
      </c>
      <c r="F7" s="1" t="n">
        <v>3500</v>
      </c>
    </row>
    <row r="8" customFormat="false" ht="15.75" hidden="false" customHeight="false" outlineLevel="0" collapsed="false">
      <c r="A8" s="1" t="s">
        <v>15</v>
      </c>
      <c r="B8" s="1" t="n">
        <v>2162</v>
      </c>
      <c r="C8" s="8" t="n">
        <v>45145</v>
      </c>
      <c r="D8" s="1"/>
      <c r="E8" s="1" t="s">
        <v>10</v>
      </c>
      <c r="F8" s="1" t="n">
        <v>3500</v>
      </c>
    </row>
    <row r="9" customFormat="false" ht="15.75" hidden="false" customHeight="false" outlineLevel="0" collapsed="false">
      <c r="A9" s="1" t="s">
        <v>160</v>
      </c>
      <c r="B9" s="1" t="n">
        <v>62</v>
      </c>
      <c r="C9" s="8" t="n">
        <v>45145</v>
      </c>
      <c r="D9" s="1"/>
      <c r="E9" s="1" t="s">
        <v>12</v>
      </c>
      <c r="F9" s="1" t="n">
        <v>3500</v>
      </c>
    </row>
    <row r="10" customFormat="false" ht="15.75" hidden="false" customHeight="false" outlineLevel="0" collapsed="false">
      <c r="A10" s="1" t="s">
        <v>161</v>
      </c>
      <c r="B10" s="1" t="n">
        <v>10000</v>
      </c>
      <c r="C10" s="8" t="n">
        <v>45139</v>
      </c>
      <c r="D10" s="1"/>
      <c r="E10" s="1" t="s">
        <v>14</v>
      </c>
      <c r="F10" s="1" t="n">
        <v>3500</v>
      </c>
    </row>
    <row r="11" customFormat="false" ht="15.75" hidden="false" customHeight="false" outlineLevel="0" collapsed="false">
      <c r="A11" s="1" t="s">
        <v>162</v>
      </c>
      <c r="B11" s="1" t="n">
        <v>115</v>
      </c>
      <c r="C11" s="8" t="n">
        <v>45161</v>
      </c>
      <c r="D11" s="1"/>
      <c r="E11" s="1" t="s">
        <v>16</v>
      </c>
      <c r="F11" s="1" t="n">
        <v>3500</v>
      </c>
    </row>
    <row r="12" customFormat="false" ht="15.75" hidden="false" customHeight="false" outlineLevel="0" collapsed="false">
      <c r="A12" s="1" t="s">
        <v>163</v>
      </c>
      <c r="B12" s="1" t="n">
        <v>1000</v>
      </c>
      <c r="C12" s="8" t="n">
        <v>45163</v>
      </c>
      <c r="D12" s="1"/>
      <c r="E12" s="1" t="s">
        <v>138</v>
      </c>
    </row>
    <row r="13" customFormat="false" ht="15.75" hidden="false" customHeight="false" outlineLevel="0" collapsed="false">
      <c r="C13" s="8"/>
      <c r="D13" s="1"/>
      <c r="E13" s="1" t="s">
        <v>18</v>
      </c>
      <c r="F13" s="4" t="n">
        <f aca="false">SUM(F4:F12)</f>
        <v>28000</v>
      </c>
    </row>
    <row r="14" customFormat="false" ht="15.75" hidden="false" customHeight="false" outlineLevel="0" collapsed="false">
      <c r="C14" s="8"/>
      <c r="D14" s="1"/>
      <c r="E14" s="1"/>
    </row>
    <row r="15" customFormat="false" ht="15.75" hidden="false" customHeight="false" outlineLevel="0" collapsed="false">
      <c r="D15" s="1"/>
      <c r="E15" s="1"/>
      <c r="F15" s="1"/>
    </row>
    <row r="16" customFormat="false" ht="15.75" hidden="false" customHeight="false" outlineLevel="0" collapsed="false">
      <c r="C16" s="8"/>
      <c r="D16" s="1"/>
      <c r="E16" s="1" t="s">
        <v>64</v>
      </c>
      <c r="F16" s="1" t="n">
        <v>0</v>
      </c>
    </row>
    <row r="17" customFormat="false" ht="15.75" hidden="false" customHeight="false" outlineLevel="0" collapsed="false">
      <c r="A17" s="1" t="s">
        <v>18</v>
      </c>
      <c r="B17" s="4" t="n">
        <f aca="false">SUM(B5:B16)</f>
        <v>32901</v>
      </c>
      <c r="D17" s="1"/>
      <c r="E17" s="1" t="s">
        <v>130</v>
      </c>
      <c r="F17" s="13" t="n">
        <v>14806</v>
      </c>
    </row>
    <row r="18" customFormat="false" ht="15.75" hidden="false" customHeight="false" outlineLevel="0" collapsed="false">
      <c r="E18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32.75"/>
    <col collapsed="false" customWidth="true" hidden="false" outlineLevel="0" max="5" min="5" style="0" width="13.37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" t="n">
        <v>19713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1" t="n">
        <v>3500</v>
      </c>
    </row>
    <row r="5" customFormat="false" ht="15.75" hidden="false" customHeight="false" outlineLevel="0" collapsed="false">
      <c r="A5" s="1" t="s">
        <v>126</v>
      </c>
      <c r="B5" s="1" t="n">
        <v>13500</v>
      </c>
      <c r="C5" s="8" t="n">
        <v>45139</v>
      </c>
      <c r="D5" s="1"/>
      <c r="E5" s="1" t="s">
        <v>4</v>
      </c>
      <c r="F5" s="1" t="n">
        <v>3500</v>
      </c>
    </row>
    <row r="6" customFormat="false" ht="15.75" hidden="false" customHeight="false" outlineLevel="0" collapsed="false">
      <c r="A6" s="1" t="s">
        <v>156</v>
      </c>
      <c r="B6" s="1" t="n">
        <v>500</v>
      </c>
      <c r="C6" s="8" t="n">
        <v>45139</v>
      </c>
      <c r="D6" s="1"/>
      <c r="E6" s="1" t="s">
        <v>6</v>
      </c>
      <c r="F6" s="1" t="n">
        <v>3500</v>
      </c>
    </row>
    <row r="7" customFormat="false" ht="15.75" hidden="false" customHeight="false" outlineLevel="0" collapsed="false">
      <c r="A7" s="1" t="s">
        <v>84</v>
      </c>
      <c r="B7" s="1" t="n">
        <v>5562</v>
      </c>
      <c r="C7" s="8" t="n">
        <v>45145</v>
      </c>
      <c r="D7" s="1"/>
      <c r="E7" s="1" t="s">
        <v>8</v>
      </c>
      <c r="F7" s="1" t="n">
        <v>3500</v>
      </c>
    </row>
    <row r="8" customFormat="false" ht="15.75" hidden="false" customHeight="false" outlineLevel="0" collapsed="false">
      <c r="A8" s="1" t="s">
        <v>15</v>
      </c>
      <c r="B8" s="1" t="n">
        <v>2162</v>
      </c>
      <c r="C8" s="8" t="n">
        <v>45145</v>
      </c>
      <c r="D8" s="1"/>
      <c r="E8" s="1" t="s">
        <v>10</v>
      </c>
      <c r="F8" s="1" t="n">
        <v>3500</v>
      </c>
    </row>
    <row r="9" customFormat="false" ht="15.75" hidden="false" customHeight="false" outlineLevel="0" collapsed="false">
      <c r="A9" s="1" t="s">
        <v>160</v>
      </c>
      <c r="B9" s="1" t="n">
        <v>62</v>
      </c>
      <c r="C9" s="8" t="n">
        <v>45145</v>
      </c>
      <c r="D9" s="1"/>
      <c r="E9" s="1" t="s">
        <v>12</v>
      </c>
      <c r="F9" s="1" t="n">
        <v>3500</v>
      </c>
    </row>
    <row r="10" customFormat="false" ht="15.75" hidden="false" customHeight="false" outlineLevel="0" collapsed="false">
      <c r="A10" s="1" t="s">
        <v>161</v>
      </c>
      <c r="B10" s="1" t="n">
        <v>10000</v>
      </c>
      <c r="C10" s="8" t="n">
        <v>45139</v>
      </c>
      <c r="D10" s="1"/>
      <c r="E10" s="1" t="s">
        <v>14</v>
      </c>
      <c r="F10" s="1" t="n">
        <v>3500</v>
      </c>
    </row>
    <row r="11" customFormat="false" ht="15.75" hidden="false" customHeight="false" outlineLevel="0" collapsed="false">
      <c r="A11" s="1" t="s">
        <v>162</v>
      </c>
      <c r="B11" s="1" t="n">
        <v>115</v>
      </c>
      <c r="C11" s="8" t="n">
        <v>45161</v>
      </c>
      <c r="D11" s="1"/>
      <c r="E11" s="1" t="s">
        <v>16</v>
      </c>
      <c r="F11" s="1" t="n">
        <v>3500</v>
      </c>
    </row>
    <row r="12" customFormat="false" ht="15.75" hidden="false" customHeight="false" outlineLevel="0" collapsed="false">
      <c r="A12" s="1" t="s">
        <v>163</v>
      </c>
      <c r="B12" s="1" t="n">
        <v>1000</v>
      </c>
      <c r="C12" s="8" t="n">
        <v>45163</v>
      </c>
      <c r="D12" s="1"/>
      <c r="E12" s="1" t="s">
        <v>138</v>
      </c>
    </row>
    <row r="13" customFormat="false" ht="15.75" hidden="false" customHeight="false" outlineLevel="0" collapsed="false">
      <c r="C13" s="8"/>
      <c r="D13" s="1"/>
      <c r="E13" s="1" t="s">
        <v>18</v>
      </c>
      <c r="F13" s="4" t="n">
        <f aca="false">SUM(F4:F12)</f>
        <v>28000</v>
      </c>
    </row>
    <row r="14" customFormat="false" ht="15.75" hidden="false" customHeight="false" outlineLevel="0" collapsed="false">
      <c r="C14" s="8"/>
      <c r="D14" s="1"/>
      <c r="E14" s="1"/>
    </row>
    <row r="15" customFormat="false" ht="15.75" hidden="false" customHeight="false" outlineLevel="0" collapsed="false">
      <c r="D15" s="1"/>
      <c r="E15" s="1"/>
      <c r="F15" s="1"/>
    </row>
    <row r="16" customFormat="false" ht="15.75" hidden="false" customHeight="false" outlineLevel="0" collapsed="false">
      <c r="C16" s="8"/>
      <c r="D16" s="1"/>
      <c r="E16" s="1" t="s">
        <v>64</v>
      </c>
      <c r="F16" s="1" t="n">
        <v>0</v>
      </c>
    </row>
    <row r="17" customFormat="false" ht="15.75" hidden="false" customHeight="false" outlineLevel="0" collapsed="false">
      <c r="A17" s="1" t="s">
        <v>18</v>
      </c>
      <c r="B17" s="4" t="n">
        <f aca="false">SUM(B5:B16)</f>
        <v>32901</v>
      </c>
      <c r="D17" s="1"/>
      <c r="E17" s="1" t="s">
        <v>130</v>
      </c>
      <c r="F17" s="13" t="n">
        <v>14806</v>
      </c>
    </row>
    <row r="18" customFormat="false" ht="15.75" hidden="false" customHeight="false" outlineLevel="0" collapsed="false">
      <c r="E18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" t="n">
        <v>14806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1" t="n">
        <v>3500</v>
      </c>
    </row>
    <row r="5" customFormat="false" ht="15.75" hidden="false" customHeight="false" outlineLevel="0" collapsed="false">
      <c r="A5" s="1" t="s">
        <v>126</v>
      </c>
      <c r="B5" s="1" t="n">
        <v>12500</v>
      </c>
      <c r="C5" s="8" t="n">
        <v>45170</v>
      </c>
      <c r="D5" s="1"/>
      <c r="E5" s="1" t="s">
        <v>4</v>
      </c>
      <c r="F5" s="1" t="n">
        <v>3500</v>
      </c>
    </row>
    <row r="6" customFormat="false" ht="15.75" hidden="false" customHeight="false" outlineLevel="0" collapsed="false">
      <c r="A6" s="1" t="s">
        <v>156</v>
      </c>
      <c r="B6" s="1" t="n">
        <v>500</v>
      </c>
      <c r="C6" s="8" t="n">
        <v>45171</v>
      </c>
      <c r="D6" s="1"/>
      <c r="E6" s="1" t="s">
        <v>6</v>
      </c>
      <c r="F6" s="1" t="n">
        <v>3500</v>
      </c>
    </row>
    <row r="7" customFormat="false" ht="15.75" hidden="false" customHeight="false" outlineLevel="0" collapsed="false">
      <c r="A7" s="1" t="s">
        <v>84</v>
      </c>
      <c r="B7" s="1" t="n">
        <v>5183</v>
      </c>
      <c r="C7" s="8" t="n">
        <v>45173</v>
      </c>
      <c r="D7" s="1"/>
      <c r="E7" s="1" t="s">
        <v>8</v>
      </c>
      <c r="F7" s="1" t="n">
        <v>3500</v>
      </c>
    </row>
    <row r="8" customFormat="false" ht="15.75" hidden="false" customHeight="false" outlineLevel="0" collapsed="false">
      <c r="A8" s="1" t="s">
        <v>15</v>
      </c>
      <c r="B8" s="1" t="n">
        <v>2228</v>
      </c>
      <c r="C8" s="8" t="n">
        <v>45180</v>
      </c>
      <c r="D8" s="1"/>
      <c r="E8" s="1" t="s">
        <v>10</v>
      </c>
      <c r="F8" s="1" t="n">
        <v>3500</v>
      </c>
    </row>
    <row r="9" customFormat="false" ht="15.75" hidden="false" customHeight="false" outlineLevel="0" collapsed="false">
      <c r="A9" s="1" t="s">
        <v>163</v>
      </c>
      <c r="B9" s="1" t="n">
        <v>2500</v>
      </c>
      <c r="C9" s="8" t="n">
        <v>45190</v>
      </c>
      <c r="D9" s="1"/>
      <c r="E9" s="1" t="s">
        <v>12</v>
      </c>
      <c r="F9" s="1" t="n">
        <v>3500</v>
      </c>
    </row>
    <row r="10" customFormat="false" ht="15.75" hidden="false" customHeight="false" outlineLevel="0" collapsed="false">
      <c r="A10" s="1" t="s">
        <v>164</v>
      </c>
      <c r="B10" s="1" t="n">
        <v>2000</v>
      </c>
      <c r="C10" s="8" t="n">
        <v>45193</v>
      </c>
      <c r="D10" s="1"/>
      <c r="E10" s="1" t="s">
        <v>14</v>
      </c>
      <c r="F10" s="1" t="n">
        <v>3500</v>
      </c>
    </row>
    <row r="11" customFormat="false" ht="15.75" hidden="false" customHeight="false" outlineLevel="0" collapsed="false">
      <c r="A11" s="1" t="s">
        <v>165</v>
      </c>
      <c r="B11" s="1" t="n">
        <v>200</v>
      </c>
      <c r="C11" s="8" t="n">
        <v>45198</v>
      </c>
      <c r="D11" s="1"/>
      <c r="E11" s="1" t="s">
        <v>16</v>
      </c>
      <c r="F11" s="1" t="n">
        <v>3500</v>
      </c>
    </row>
    <row r="12" customFormat="false" ht="15.75" hidden="false" customHeight="false" outlineLevel="0" collapsed="false">
      <c r="C12" s="8"/>
      <c r="D12" s="1"/>
      <c r="E12" s="1" t="s">
        <v>138</v>
      </c>
    </row>
    <row r="13" customFormat="false" ht="15.75" hidden="false" customHeight="false" outlineLevel="0" collapsed="false">
      <c r="C13" s="8"/>
      <c r="D13" s="1"/>
      <c r="E13" s="1" t="s">
        <v>18</v>
      </c>
      <c r="F13" s="4" t="n">
        <f aca="false">SUM(F4:F12)</f>
        <v>28000</v>
      </c>
    </row>
    <row r="14" customFormat="false" ht="15.75" hidden="false" customHeight="false" outlineLevel="0" collapsed="false">
      <c r="C14" s="8"/>
      <c r="D14" s="1"/>
      <c r="E14" s="1"/>
    </row>
    <row r="15" customFormat="false" ht="15.75" hidden="false" customHeight="false" outlineLevel="0" collapsed="false">
      <c r="D15" s="1"/>
      <c r="E15" s="1"/>
      <c r="F15" s="1"/>
    </row>
    <row r="16" customFormat="false" ht="15.75" hidden="false" customHeight="false" outlineLevel="0" collapsed="false">
      <c r="C16" s="8"/>
      <c r="D16" s="1"/>
      <c r="E16" s="1" t="s">
        <v>64</v>
      </c>
      <c r="F16" s="1" t="n">
        <v>0</v>
      </c>
    </row>
    <row r="17" customFormat="false" ht="15.75" hidden="false" customHeight="false" outlineLevel="0" collapsed="false">
      <c r="A17" s="1" t="s">
        <v>18</v>
      </c>
      <c r="B17" s="4" t="n">
        <f aca="false">SUM(B5:B16)</f>
        <v>25111</v>
      </c>
      <c r="D17" s="1"/>
      <c r="E17" s="1" t="s">
        <v>130</v>
      </c>
      <c r="F17" s="13" t="n">
        <f aca="false">17690</f>
        <v>17690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" t="n">
        <v>17690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1" t="n">
        <v>3500</v>
      </c>
    </row>
    <row r="5" customFormat="false" ht="15.75" hidden="false" customHeight="false" outlineLevel="0" collapsed="false">
      <c r="A5" s="1" t="s">
        <v>126</v>
      </c>
      <c r="B5" s="1" t="n">
        <v>11000</v>
      </c>
      <c r="C5" s="8" t="n">
        <v>45200</v>
      </c>
      <c r="D5" s="1"/>
      <c r="E5" s="1" t="s">
        <v>4</v>
      </c>
      <c r="F5" s="1" t="n">
        <v>3500</v>
      </c>
    </row>
    <row r="6" customFormat="false" ht="15.75" hidden="false" customHeight="false" outlineLevel="0" collapsed="false">
      <c r="A6" s="1" t="s">
        <v>156</v>
      </c>
      <c r="B6" s="1" t="n">
        <v>500</v>
      </c>
      <c r="C6" s="8" t="n">
        <v>45200</v>
      </c>
      <c r="D6" s="1"/>
      <c r="E6" s="1" t="s">
        <v>6</v>
      </c>
      <c r="F6" s="1" t="n">
        <v>3500</v>
      </c>
    </row>
    <row r="7" customFormat="false" ht="15.75" hidden="false" customHeight="false" outlineLevel="0" collapsed="false">
      <c r="A7" s="1" t="s">
        <v>84</v>
      </c>
      <c r="B7" s="1" t="n">
        <v>5411</v>
      </c>
      <c r="C7" s="8"/>
      <c r="D7" s="1"/>
      <c r="E7" s="1" t="s">
        <v>8</v>
      </c>
      <c r="F7" s="1" t="n">
        <v>3500</v>
      </c>
    </row>
    <row r="8" customFormat="false" ht="15.75" hidden="false" customHeight="false" outlineLevel="0" collapsed="false">
      <c r="A8" s="1" t="s">
        <v>15</v>
      </c>
      <c r="B8" s="1" t="n">
        <v>2206</v>
      </c>
      <c r="C8" s="8"/>
      <c r="D8" s="1"/>
      <c r="E8" s="1" t="s">
        <v>10</v>
      </c>
      <c r="F8" s="1" t="n">
        <v>3500</v>
      </c>
    </row>
    <row r="9" customFormat="false" ht="15.75" hidden="false" customHeight="false" outlineLevel="0" collapsed="false">
      <c r="A9" s="1" t="s">
        <v>163</v>
      </c>
      <c r="B9" s="1" t="n">
        <v>3000</v>
      </c>
      <c r="C9" s="8"/>
      <c r="D9" s="1"/>
      <c r="E9" s="1" t="s">
        <v>12</v>
      </c>
      <c r="F9" s="1" t="n">
        <v>3500</v>
      </c>
    </row>
    <row r="10" customFormat="false" ht="15.75" hidden="false" customHeight="false" outlineLevel="0" collapsed="false">
      <c r="A10" s="1" t="s">
        <v>166</v>
      </c>
      <c r="B10" s="1" t="n">
        <v>1500</v>
      </c>
      <c r="C10" s="8" t="n">
        <v>45229</v>
      </c>
      <c r="D10" s="1"/>
      <c r="E10" s="1" t="s">
        <v>14</v>
      </c>
      <c r="F10" s="1" t="n">
        <v>3500</v>
      </c>
    </row>
    <row r="11" customFormat="false" ht="15.75" hidden="false" customHeight="false" outlineLevel="0" collapsed="false">
      <c r="A11" s="1" t="s">
        <v>167</v>
      </c>
      <c r="B11" s="1" t="n">
        <v>465</v>
      </c>
      <c r="C11" s="8" t="n">
        <v>45229</v>
      </c>
      <c r="D11" s="1"/>
      <c r="E11" s="1" t="s">
        <v>16</v>
      </c>
      <c r="F11" s="1" t="n">
        <v>3500</v>
      </c>
    </row>
    <row r="12" customFormat="false" ht="15.75" hidden="false" customHeight="false" outlineLevel="0" collapsed="false">
      <c r="C12" s="8"/>
      <c r="D12" s="1"/>
      <c r="E12" s="1" t="s">
        <v>138</v>
      </c>
      <c r="F12" s="1" t="n">
        <v>153</v>
      </c>
    </row>
    <row r="13" customFormat="false" ht="15.75" hidden="false" customHeight="false" outlineLevel="0" collapsed="false">
      <c r="C13" s="8"/>
      <c r="D13" s="1"/>
      <c r="E13" s="1" t="s">
        <v>18</v>
      </c>
      <c r="F13" s="4" t="n">
        <f aca="false">SUM(F4:F12)</f>
        <v>28153</v>
      </c>
    </row>
    <row r="14" customFormat="false" ht="15.75" hidden="false" customHeight="false" outlineLevel="0" collapsed="false">
      <c r="C14" s="8"/>
      <c r="D14" s="1"/>
      <c r="E14" s="1"/>
    </row>
    <row r="15" customFormat="false" ht="15.75" hidden="false" customHeight="false" outlineLevel="0" collapsed="false">
      <c r="D15" s="1"/>
      <c r="E15" s="1"/>
      <c r="F15" s="1"/>
    </row>
    <row r="16" customFormat="false" ht="15.75" hidden="false" customHeight="false" outlineLevel="0" collapsed="false">
      <c r="C16" s="8"/>
      <c r="D16" s="1"/>
      <c r="E16" s="1" t="s">
        <v>64</v>
      </c>
      <c r="F16" s="1" t="n">
        <v>0</v>
      </c>
    </row>
    <row r="17" customFormat="false" ht="15.75" hidden="false" customHeight="false" outlineLevel="0" collapsed="false">
      <c r="A17" s="1" t="s">
        <v>18</v>
      </c>
      <c r="B17" s="4" t="n">
        <f aca="false">SUM(B5:B16)</f>
        <v>24082</v>
      </c>
      <c r="D17" s="1"/>
      <c r="E17" s="1" t="s">
        <v>130</v>
      </c>
      <c r="F17" s="13" t="n">
        <f aca="false">B2+F13-B17</f>
        <v>21761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.5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6" t="n">
        <f aca="false">Sheet19_conflict72661679!F17</f>
        <v>21761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1" t="n">
        <v>8500</v>
      </c>
    </row>
    <row r="5" customFormat="false" ht="15.75" hidden="false" customHeight="false" outlineLevel="0" collapsed="false">
      <c r="A5" s="1" t="s">
        <v>126</v>
      </c>
      <c r="B5" s="1" t="n">
        <v>10500</v>
      </c>
      <c r="C5" s="8" t="n">
        <v>45231</v>
      </c>
      <c r="D5" s="1"/>
      <c r="E5" s="1" t="s">
        <v>4</v>
      </c>
      <c r="F5" s="1" t="n">
        <v>8500</v>
      </c>
    </row>
    <row r="6" customFormat="false" ht="15.75" hidden="false" customHeight="false" outlineLevel="0" collapsed="false">
      <c r="A6" s="1" t="s">
        <v>156</v>
      </c>
      <c r="B6" s="1" t="n">
        <v>500</v>
      </c>
      <c r="C6" s="8" t="n">
        <v>45231</v>
      </c>
      <c r="D6" s="1"/>
      <c r="E6" s="1" t="s">
        <v>6</v>
      </c>
      <c r="F6" s="1" t="n">
        <v>8500</v>
      </c>
    </row>
    <row r="7" customFormat="false" ht="15.75" hidden="false" customHeight="false" outlineLevel="0" collapsed="false">
      <c r="A7" s="1" t="s">
        <v>84</v>
      </c>
      <c r="B7" s="1" t="n">
        <v>5385</v>
      </c>
      <c r="C7" s="8" t="s">
        <v>168</v>
      </c>
      <c r="D7" s="1"/>
      <c r="E7" s="1" t="s">
        <v>8</v>
      </c>
      <c r="F7" s="1" t="n">
        <v>8500</v>
      </c>
    </row>
    <row r="8" customFormat="false" ht="15.75" hidden="false" customHeight="false" outlineLevel="0" collapsed="false">
      <c r="A8" s="1" t="s">
        <v>15</v>
      </c>
      <c r="B8" s="1" t="n">
        <v>2162</v>
      </c>
      <c r="C8" s="8" t="n">
        <v>45235</v>
      </c>
      <c r="D8" s="1"/>
      <c r="E8" s="1" t="s">
        <v>10</v>
      </c>
      <c r="F8" s="1" t="n">
        <v>8500</v>
      </c>
    </row>
    <row r="9" customFormat="false" ht="15.75" hidden="false" customHeight="false" outlineLevel="0" collapsed="false">
      <c r="A9" s="1" t="s">
        <v>169</v>
      </c>
      <c r="B9" s="1" t="n">
        <v>6500</v>
      </c>
      <c r="C9" s="8" t="n">
        <v>45237</v>
      </c>
      <c r="D9" s="1"/>
      <c r="E9" s="1" t="s">
        <v>12</v>
      </c>
      <c r="F9" s="1" t="n">
        <v>8500</v>
      </c>
    </row>
    <row r="10" customFormat="false" ht="15.75" hidden="false" customHeight="false" outlineLevel="0" collapsed="false">
      <c r="A10" s="1" t="s">
        <v>170</v>
      </c>
      <c r="B10" s="1" t="n">
        <v>1000</v>
      </c>
      <c r="C10" s="8" t="n">
        <v>337440</v>
      </c>
      <c r="D10" s="1"/>
      <c r="E10" s="1" t="s">
        <v>14</v>
      </c>
      <c r="F10" s="1" t="n">
        <v>8500</v>
      </c>
    </row>
    <row r="11" customFormat="false" ht="15.75" hidden="false" customHeight="false" outlineLevel="0" collapsed="false">
      <c r="A11" s="1" t="s">
        <v>171</v>
      </c>
      <c r="B11" s="1" t="n">
        <v>33750</v>
      </c>
      <c r="C11" s="8" t="n">
        <v>45247</v>
      </c>
      <c r="D11" s="1"/>
      <c r="E11" s="1" t="s">
        <v>16</v>
      </c>
      <c r="F11" s="1" t="n">
        <v>8500</v>
      </c>
    </row>
    <row r="12" customFormat="false" ht="15.75" hidden="false" customHeight="false" outlineLevel="0" collapsed="false">
      <c r="A12" s="1" t="s">
        <v>172</v>
      </c>
      <c r="B12" s="1" t="n">
        <v>7000</v>
      </c>
      <c r="C12" s="8" t="n">
        <v>45247</v>
      </c>
      <c r="D12" s="1"/>
      <c r="E12" s="1" t="s">
        <v>138</v>
      </c>
    </row>
    <row r="13" customFormat="false" ht="15.75" hidden="false" customHeight="false" outlineLevel="0" collapsed="false">
      <c r="A13" s="1" t="s">
        <v>173</v>
      </c>
      <c r="B13" s="1" t="n">
        <v>1600</v>
      </c>
      <c r="C13" s="17" t="n">
        <v>45248</v>
      </c>
      <c r="D13" s="1"/>
      <c r="E13" s="1" t="s">
        <v>18</v>
      </c>
      <c r="F13" s="4" t="n">
        <f aca="false">SUM(F4:F12)</f>
        <v>68000</v>
      </c>
    </row>
    <row r="14" customFormat="false" ht="15.75" hidden="false" customHeight="false" outlineLevel="0" collapsed="false">
      <c r="A14" s="1" t="s">
        <v>174</v>
      </c>
      <c r="B14" s="1" t="n">
        <v>425</v>
      </c>
      <c r="C14" s="8" t="n">
        <v>45250</v>
      </c>
      <c r="D14" s="1"/>
      <c r="E14" s="1"/>
    </row>
    <row r="15" customFormat="false" ht="15.75" hidden="false" customHeight="false" outlineLevel="0" collapsed="false">
      <c r="A15" s="1" t="s">
        <v>175</v>
      </c>
      <c r="B15" s="1" t="n">
        <v>220</v>
      </c>
      <c r="C15" s="17" t="n">
        <v>45252</v>
      </c>
      <c r="D15" s="1"/>
      <c r="E15" s="1"/>
      <c r="F15" s="1"/>
    </row>
    <row r="16" customFormat="false" ht="15.75" hidden="false" customHeight="false" outlineLevel="0" collapsed="false">
      <c r="A16" s="1" t="s">
        <v>60</v>
      </c>
      <c r="B16" s="1" t="n">
        <v>1000</v>
      </c>
      <c r="C16" s="17" t="n">
        <v>45254</v>
      </c>
      <c r="D16" s="1"/>
      <c r="E16" s="1"/>
      <c r="F16" s="1"/>
    </row>
    <row r="17" customFormat="false" ht="15.75" hidden="false" customHeight="false" outlineLevel="0" collapsed="false">
      <c r="A17" s="1" t="s">
        <v>24</v>
      </c>
      <c r="B17" s="1" t="n">
        <v>1500</v>
      </c>
      <c r="C17" s="17" t="n">
        <v>45256</v>
      </c>
      <c r="D17" s="1"/>
      <c r="E17" s="1"/>
      <c r="F17" s="1"/>
    </row>
    <row r="18" customFormat="false" ht="15.75" hidden="false" customHeight="false" outlineLevel="0" collapsed="false">
      <c r="A18" s="1" t="s">
        <v>176</v>
      </c>
      <c r="B18" s="1" t="n">
        <v>500</v>
      </c>
      <c r="C18" s="17" t="n">
        <v>45256</v>
      </c>
      <c r="D18" s="1"/>
      <c r="E18" s="1"/>
      <c r="F18" s="1"/>
    </row>
    <row r="19" customFormat="false" ht="15.75" hidden="false" customHeight="false" outlineLevel="0" collapsed="false">
      <c r="C19" s="17"/>
      <c r="D19" s="1"/>
      <c r="E19" s="1"/>
      <c r="F19" s="1"/>
    </row>
    <row r="20" customFormat="false" ht="15.75" hidden="false" customHeight="false" outlineLevel="0" collapsed="false">
      <c r="C20" s="8"/>
      <c r="D20" s="1"/>
      <c r="E20" s="1" t="s">
        <v>64</v>
      </c>
      <c r="F20" s="1" t="n">
        <v>0</v>
      </c>
    </row>
    <row r="21" customFormat="false" ht="15.75" hidden="false" customHeight="false" outlineLevel="0" collapsed="false">
      <c r="A21" s="1" t="s">
        <v>18</v>
      </c>
      <c r="B21" s="4" t="n">
        <f aca="false">SUM(B5:B20)</f>
        <v>72042</v>
      </c>
      <c r="D21" s="1"/>
      <c r="E21" s="1" t="s">
        <v>130</v>
      </c>
      <c r="F21" s="13" t="n">
        <f aca="false">B2+F13-B21</f>
        <v>17719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.5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6" t="n">
        <f aca="false">'Nov 2023'!F21</f>
        <v>17719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1" t="n">
        <v>8500</v>
      </c>
    </row>
    <row r="5" customFormat="false" ht="15.75" hidden="false" customHeight="false" outlineLevel="0" collapsed="false">
      <c r="A5" s="1" t="s">
        <v>126</v>
      </c>
      <c r="B5" s="1" t="n">
        <v>12500</v>
      </c>
      <c r="C5" s="8" t="n">
        <v>45261</v>
      </c>
      <c r="D5" s="1"/>
      <c r="E5" s="1" t="s">
        <v>4</v>
      </c>
      <c r="F5" s="1" t="n">
        <v>8500</v>
      </c>
    </row>
    <row r="6" customFormat="false" ht="15.75" hidden="false" customHeight="false" outlineLevel="0" collapsed="false">
      <c r="A6" s="1" t="s">
        <v>156</v>
      </c>
      <c r="B6" s="1" t="n">
        <v>500</v>
      </c>
      <c r="C6" s="8" t="n">
        <v>45261</v>
      </c>
      <c r="D6" s="1"/>
      <c r="E6" s="1" t="s">
        <v>6</v>
      </c>
      <c r="F6" s="1" t="n">
        <v>8500</v>
      </c>
    </row>
    <row r="7" customFormat="false" ht="15.75" hidden="false" customHeight="false" outlineLevel="0" collapsed="false">
      <c r="A7" s="1" t="s">
        <v>177</v>
      </c>
      <c r="B7" s="1" t="n">
        <v>500</v>
      </c>
      <c r="C7" s="8" t="n">
        <v>45261</v>
      </c>
      <c r="D7" s="1"/>
      <c r="E7" s="1" t="s">
        <v>8</v>
      </c>
      <c r="F7" s="1" t="n">
        <v>8500</v>
      </c>
    </row>
    <row r="8" customFormat="false" ht="15.75" hidden="false" customHeight="false" outlineLevel="0" collapsed="false">
      <c r="A8" s="1" t="s">
        <v>178</v>
      </c>
      <c r="B8" s="1" t="n">
        <v>700</v>
      </c>
      <c r="C8" s="8" t="n">
        <v>45266</v>
      </c>
      <c r="D8" s="1"/>
      <c r="E8" s="1" t="s">
        <v>10</v>
      </c>
      <c r="F8" s="1" t="n">
        <v>8500</v>
      </c>
    </row>
    <row r="9" customFormat="false" ht="15.75" hidden="false" customHeight="false" outlineLevel="0" collapsed="false">
      <c r="A9" s="1" t="s">
        <v>84</v>
      </c>
      <c r="B9" s="1" t="n">
        <v>5939</v>
      </c>
      <c r="C9" s="8" t="n">
        <v>45267</v>
      </c>
      <c r="D9" s="1"/>
      <c r="E9" s="1" t="s">
        <v>12</v>
      </c>
      <c r="F9" s="1" t="n">
        <v>8500</v>
      </c>
    </row>
    <row r="10" customFormat="false" ht="15.75" hidden="false" customHeight="false" outlineLevel="0" collapsed="false">
      <c r="A10" s="1" t="s">
        <v>15</v>
      </c>
      <c r="B10" s="1" t="n">
        <v>2162</v>
      </c>
      <c r="C10" s="8" t="n">
        <v>45267</v>
      </c>
      <c r="D10" s="1"/>
      <c r="E10" s="1" t="s">
        <v>14</v>
      </c>
      <c r="F10" s="1" t="n">
        <v>8500</v>
      </c>
    </row>
    <row r="11" customFormat="false" ht="15.75" hidden="false" customHeight="false" outlineLevel="0" collapsed="false">
      <c r="A11" s="1" t="s">
        <v>179</v>
      </c>
      <c r="B11" s="1" t="n">
        <v>750</v>
      </c>
      <c r="C11" s="17" t="n">
        <v>45278</v>
      </c>
      <c r="D11" s="1"/>
      <c r="E11" s="1" t="s">
        <v>16</v>
      </c>
      <c r="F11" s="1" t="n">
        <v>8500</v>
      </c>
    </row>
    <row r="12" customFormat="false" ht="15.75" hidden="false" customHeight="false" outlineLevel="0" collapsed="false">
      <c r="A12" s="1" t="s">
        <v>180</v>
      </c>
      <c r="B12" s="1" t="n">
        <v>11000</v>
      </c>
      <c r="C12" s="8" t="n">
        <v>45282</v>
      </c>
      <c r="D12" s="1"/>
      <c r="E12" s="1" t="s">
        <v>138</v>
      </c>
    </row>
    <row r="13" customFormat="false" ht="15.75" hidden="false" customHeight="false" outlineLevel="0" collapsed="false">
      <c r="A13" s="1" t="s">
        <v>181</v>
      </c>
      <c r="B13" s="1" t="n">
        <v>1499</v>
      </c>
      <c r="C13" s="8" t="n">
        <v>45284</v>
      </c>
      <c r="D13" s="1"/>
      <c r="E13" s="1" t="s">
        <v>18</v>
      </c>
      <c r="F13" s="4" t="n">
        <f aca="false">SUM(F4:F12)</f>
        <v>68000</v>
      </c>
    </row>
    <row r="14" customFormat="false" ht="15.75" hidden="false" customHeight="false" outlineLevel="0" collapsed="false">
      <c r="A14" s="1" t="s">
        <v>182</v>
      </c>
      <c r="B14" s="1" t="n">
        <v>1000</v>
      </c>
      <c r="C14" s="8" t="n">
        <v>45289</v>
      </c>
      <c r="D14" s="1"/>
      <c r="E14" s="1"/>
    </row>
    <row r="15" customFormat="false" ht="15.75" hidden="false" customHeight="false" outlineLevel="0" collapsed="false">
      <c r="A15" s="1" t="s">
        <v>175</v>
      </c>
      <c r="C15" s="17"/>
      <c r="D15" s="1"/>
      <c r="E15" s="1"/>
      <c r="F15" s="1"/>
    </row>
    <row r="16" customFormat="false" ht="15.75" hidden="false" customHeight="false" outlineLevel="0" collapsed="false">
      <c r="A16" s="1" t="s">
        <v>60</v>
      </c>
      <c r="C16" s="17"/>
      <c r="D16" s="1"/>
      <c r="E16" s="1"/>
      <c r="F16" s="1"/>
    </row>
    <row r="17" customFormat="false" ht="15.75" hidden="false" customHeight="false" outlineLevel="0" collapsed="false">
      <c r="A17" s="1"/>
      <c r="C17" s="17"/>
      <c r="D17" s="1"/>
      <c r="E17" s="1"/>
      <c r="F17" s="1"/>
    </row>
    <row r="18" customFormat="false" ht="15.75" hidden="false" customHeight="false" outlineLevel="0" collapsed="false">
      <c r="A18" s="1" t="s">
        <v>176</v>
      </c>
      <c r="C18" s="8"/>
      <c r="D18" s="1"/>
      <c r="E18" s="1"/>
      <c r="F18" s="1"/>
    </row>
    <row r="19" customFormat="false" ht="15.75" hidden="false" customHeight="false" outlineLevel="0" collapsed="false">
      <c r="C19" s="8"/>
      <c r="D19" s="1"/>
      <c r="E19" s="1" t="s">
        <v>64</v>
      </c>
      <c r="F19" s="1" t="n">
        <v>0</v>
      </c>
    </row>
    <row r="20" customFormat="false" ht="15.75" hidden="false" customHeight="false" outlineLevel="0" collapsed="false">
      <c r="A20" s="1" t="s">
        <v>18</v>
      </c>
      <c r="B20" s="4" t="n">
        <f aca="false">SUM(B5:B19)</f>
        <v>36550</v>
      </c>
      <c r="D20" s="1"/>
      <c r="E20" s="1" t="s">
        <v>130</v>
      </c>
      <c r="F20" s="13" t="n">
        <f aca="false">B2+F13-B20</f>
        <v>49169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.5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6" t="n">
        <f aca="false">'Dec 2023'!F20</f>
        <v>49169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1" t="n">
        <v>3500</v>
      </c>
    </row>
    <row r="5" customFormat="false" ht="15.75" hidden="false" customHeight="false" outlineLevel="0" collapsed="false">
      <c r="A5" s="1" t="s">
        <v>126</v>
      </c>
      <c r="B5" s="1" t="n">
        <v>13500</v>
      </c>
      <c r="C5" s="8" t="n">
        <v>45292</v>
      </c>
      <c r="D5" s="1"/>
      <c r="E5" s="1" t="s">
        <v>4</v>
      </c>
      <c r="F5" s="1" t="n">
        <v>3500</v>
      </c>
    </row>
    <row r="6" customFormat="false" ht="15.75" hidden="false" customHeight="false" outlineLevel="0" collapsed="false">
      <c r="A6" s="1" t="s">
        <v>156</v>
      </c>
      <c r="B6" s="1" t="n">
        <v>500</v>
      </c>
      <c r="C6" s="8" t="n">
        <v>45293</v>
      </c>
      <c r="D6" s="1"/>
      <c r="E6" s="1" t="s">
        <v>6</v>
      </c>
      <c r="F6" s="1" t="n">
        <v>3500</v>
      </c>
    </row>
    <row r="7" customFormat="false" ht="15.75" hidden="false" customHeight="false" outlineLevel="0" collapsed="false">
      <c r="A7" s="1" t="s">
        <v>177</v>
      </c>
      <c r="B7" s="1"/>
      <c r="C7" s="8"/>
      <c r="D7" s="1"/>
      <c r="E7" s="1" t="s">
        <v>8</v>
      </c>
      <c r="F7" s="1" t="n">
        <v>3500</v>
      </c>
    </row>
    <row r="8" customFormat="false" ht="15.75" hidden="false" customHeight="false" outlineLevel="0" collapsed="false">
      <c r="A8" s="1" t="s">
        <v>183</v>
      </c>
      <c r="B8" s="1" t="n">
        <v>1599</v>
      </c>
      <c r="C8" s="8" t="n">
        <v>45293</v>
      </c>
      <c r="D8" s="1"/>
      <c r="E8" s="1" t="s">
        <v>10</v>
      </c>
      <c r="F8" s="1" t="n">
        <v>3500</v>
      </c>
    </row>
    <row r="9" customFormat="false" ht="15.75" hidden="false" customHeight="false" outlineLevel="0" collapsed="false">
      <c r="A9" s="1" t="s">
        <v>84</v>
      </c>
      <c r="B9" s="1" t="n">
        <v>6044</v>
      </c>
      <c r="C9" s="8" t="n">
        <v>45297</v>
      </c>
      <c r="D9" s="1"/>
      <c r="E9" s="1" t="s">
        <v>12</v>
      </c>
      <c r="F9" s="1" t="n">
        <v>3500</v>
      </c>
    </row>
    <row r="10" customFormat="false" ht="15.75" hidden="false" customHeight="false" outlineLevel="0" collapsed="false">
      <c r="A10" s="1" t="s">
        <v>15</v>
      </c>
      <c r="B10" s="1" t="n">
        <v>2118</v>
      </c>
      <c r="C10" s="8" t="n">
        <v>45297</v>
      </c>
      <c r="D10" s="1"/>
      <c r="E10" s="1" t="s">
        <v>14</v>
      </c>
      <c r="F10" s="1" t="n">
        <v>3500</v>
      </c>
    </row>
    <row r="11" customFormat="false" ht="15.75" hidden="false" customHeight="false" outlineLevel="0" collapsed="false">
      <c r="A11" s="1" t="s">
        <v>184</v>
      </c>
      <c r="B11" s="1" t="n">
        <v>800</v>
      </c>
      <c r="C11" s="8" t="n">
        <v>45297</v>
      </c>
      <c r="D11" s="1"/>
      <c r="E11" s="1" t="s">
        <v>16</v>
      </c>
      <c r="F11" s="1" t="n">
        <v>3500</v>
      </c>
    </row>
    <row r="12" customFormat="false" ht="15.75" hidden="false" customHeight="false" outlineLevel="0" collapsed="false">
      <c r="A12" s="1" t="s">
        <v>60</v>
      </c>
      <c r="B12" s="1" t="n">
        <v>5000</v>
      </c>
      <c r="C12" s="8" t="n">
        <v>45300</v>
      </c>
      <c r="D12" s="1"/>
      <c r="E12" s="1" t="s">
        <v>138</v>
      </c>
      <c r="F12" s="1" t="n">
        <v>276</v>
      </c>
    </row>
    <row r="13" customFormat="false" ht="15.75" hidden="false" customHeight="false" outlineLevel="0" collapsed="false">
      <c r="A13" s="1" t="s">
        <v>185</v>
      </c>
      <c r="B13" s="1" t="n">
        <v>1200</v>
      </c>
      <c r="C13" s="17" t="n">
        <v>45302</v>
      </c>
      <c r="D13" s="1"/>
      <c r="E13" s="1" t="s">
        <v>18</v>
      </c>
      <c r="F13" s="4" t="n">
        <f aca="false">SUM(F4:F12)</f>
        <v>28276</v>
      </c>
    </row>
    <row r="14" customFormat="false" ht="15.75" hidden="false" customHeight="false" outlineLevel="0" collapsed="false">
      <c r="A14" s="1" t="s">
        <v>170</v>
      </c>
      <c r="B14" s="1" t="n">
        <v>700</v>
      </c>
      <c r="C14" s="8" t="n">
        <v>45304</v>
      </c>
      <c r="D14" s="1"/>
      <c r="E14" s="1"/>
    </row>
    <row r="15" customFormat="false" ht="15.75" hidden="false" customHeight="false" outlineLevel="0" collapsed="false">
      <c r="A15" s="1" t="s">
        <v>186</v>
      </c>
      <c r="B15" s="1" t="n">
        <v>8500</v>
      </c>
      <c r="C15" s="17" t="n">
        <v>45306</v>
      </c>
      <c r="D15" s="1"/>
      <c r="E15" s="1"/>
      <c r="F15" s="1"/>
    </row>
    <row r="16" customFormat="false" ht="15.75" hidden="false" customHeight="false" outlineLevel="0" collapsed="false">
      <c r="A16" s="1" t="s">
        <v>187</v>
      </c>
      <c r="B16" s="1" t="n">
        <v>4499</v>
      </c>
      <c r="C16" s="17" t="n">
        <v>45318</v>
      </c>
      <c r="D16" s="1"/>
      <c r="E16" s="1"/>
      <c r="F16" s="1"/>
    </row>
    <row r="17" customFormat="false" ht="15.75" hidden="false" customHeight="false" outlineLevel="0" collapsed="false">
      <c r="A17" s="1"/>
      <c r="C17" s="17"/>
      <c r="D17" s="1"/>
      <c r="E17" s="1"/>
      <c r="F17" s="1"/>
    </row>
    <row r="18" customFormat="false" ht="15.75" hidden="false" customHeight="false" outlineLevel="0" collapsed="false">
      <c r="C18" s="8"/>
      <c r="D18" s="1"/>
      <c r="E18" s="1"/>
      <c r="F18" s="1"/>
    </row>
    <row r="19" customFormat="false" ht="15.75" hidden="false" customHeight="false" outlineLevel="0" collapsed="false">
      <c r="C19" s="8"/>
      <c r="D19" s="1"/>
      <c r="E19" s="1" t="s">
        <v>64</v>
      </c>
      <c r="F19" s="1" t="n">
        <v>0</v>
      </c>
    </row>
    <row r="20" customFormat="false" ht="15.75" hidden="false" customHeight="false" outlineLevel="0" collapsed="false">
      <c r="A20" s="1" t="s">
        <v>18</v>
      </c>
      <c r="B20" s="4" t="n">
        <f aca="false">SUM(B5:B19)</f>
        <v>44460</v>
      </c>
      <c r="D20" s="1"/>
      <c r="E20" s="1" t="s">
        <v>130</v>
      </c>
      <c r="F20" s="13" t="n">
        <f aca="false">B2+F13-B20</f>
        <v>32985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.51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6" t="n">
        <f aca="false">'Jan 2024'!F20</f>
        <v>32985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1" t="n">
        <v>8500</v>
      </c>
    </row>
    <row r="5" customFormat="false" ht="15.75" hidden="false" customHeight="false" outlineLevel="0" collapsed="false">
      <c r="A5" s="1" t="s">
        <v>126</v>
      </c>
      <c r="B5" s="1" t="n">
        <v>8500</v>
      </c>
      <c r="C5" s="8" t="n">
        <v>45323</v>
      </c>
      <c r="D5" s="1"/>
      <c r="E5" s="1" t="s">
        <v>4</v>
      </c>
      <c r="F5" s="1" t="n">
        <v>8500</v>
      </c>
    </row>
    <row r="6" customFormat="false" ht="15.75" hidden="false" customHeight="false" outlineLevel="0" collapsed="false">
      <c r="A6" s="1" t="s">
        <v>156</v>
      </c>
      <c r="B6" s="1" t="n">
        <v>500</v>
      </c>
      <c r="C6" s="8" t="n">
        <v>45324</v>
      </c>
      <c r="D6" s="1"/>
      <c r="E6" s="1" t="s">
        <v>6</v>
      </c>
      <c r="F6" s="1" t="n">
        <v>8500</v>
      </c>
    </row>
    <row r="7" customFormat="false" ht="15.75" hidden="false" customHeight="false" outlineLevel="0" collapsed="false">
      <c r="A7" s="1" t="s">
        <v>188</v>
      </c>
      <c r="B7" s="1" t="n">
        <v>1506</v>
      </c>
      <c r="C7" s="8" t="n">
        <v>45327</v>
      </c>
      <c r="D7" s="1"/>
      <c r="E7" s="1" t="s">
        <v>8</v>
      </c>
      <c r="F7" s="1" t="n">
        <v>8500</v>
      </c>
    </row>
    <row r="8" customFormat="false" ht="15.75" hidden="false" customHeight="false" outlineLevel="0" collapsed="false">
      <c r="A8" s="1" t="s">
        <v>183</v>
      </c>
      <c r="B8" s="1"/>
      <c r="C8" s="8"/>
      <c r="D8" s="1"/>
      <c r="E8" s="1" t="s">
        <v>10</v>
      </c>
      <c r="F8" s="1" t="n">
        <v>8500</v>
      </c>
    </row>
    <row r="9" customFormat="false" ht="15.75" hidden="false" customHeight="false" outlineLevel="0" collapsed="false">
      <c r="A9" s="1" t="s">
        <v>84</v>
      </c>
      <c r="B9" s="1" t="n">
        <v>6808</v>
      </c>
      <c r="C9" s="8" t="n">
        <v>45331</v>
      </c>
      <c r="D9" s="1"/>
      <c r="E9" s="1" t="s">
        <v>12</v>
      </c>
      <c r="F9" s="1" t="n">
        <v>8500</v>
      </c>
    </row>
    <row r="10" customFormat="false" ht="15.75" hidden="false" customHeight="false" outlineLevel="0" collapsed="false">
      <c r="A10" s="1" t="s">
        <v>15</v>
      </c>
      <c r="B10" s="1" t="n">
        <v>2118</v>
      </c>
      <c r="C10" s="8" t="n">
        <v>45331</v>
      </c>
      <c r="D10" s="1"/>
      <c r="E10" s="1" t="s">
        <v>14</v>
      </c>
      <c r="F10" s="1" t="n">
        <v>8500</v>
      </c>
    </row>
    <row r="11" customFormat="false" ht="15.75" hidden="false" customHeight="false" outlineLevel="0" collapsed="false">
      <c r="A11" s="1" t="s">
        <v>189</v>
      </c>
      <c r="C11" s="8"/>
      <c r="D11" s="1"/>
      <c r="E11" s="1" t="s">
        <v>16</v>
      </c>
      <c r="F11" s="1" t="n">
        <v>8500</v>
      </c>
    </row>
    <row r="12" customFormat="false" ht="15.75" hidden="false" customHeight="false" outlineLevel="0" collapsed="false">
      <c r="A12" s="1" t="s">
        <v>60</v>
      </c>
      <c r="B12" s="1" t="n">
        <v>2000</v>
      </c>
      <c r="C12" s="8" t="n">
        <v>45339</v>
      </c>
      <c r="D12" s="1"/>
      <c r="E12" s="1" t="s">
        <v>138</v>
      </c>
    </row>
    <row r="13" customFormat="false" ht="15.75" hidden="false" customHeight="false" outlineLevel="0" collapsed="false">
      <c r="A13" s="1" t="s">
        <v>24</v>
      </c>
      <c r="B13" s="1" t="n">
        <v>2000</v>
      </c>
      <c r="C13" s="17" t="n">
        <v>45346</v>
      </c>
      <c r="D13" s="1"/>
      <c r="E13" s="1" t="s">
        <v>18</v>
      </c>
      <c r="F13" s="4" t="n">
        <f aca="false">SUM(F4:F12)</f>
        <v>68000</v>
      </c>
    </row>
    <row r="14" customFormat="false" ht="15.75" hidden="false" customHeight="false" outlineLevel="0" collapsed="false">
      <c r="A14" s="1" t="s">
        <v>190</v>
      </c>
      <c r="B14" s="1" t="n">
        <v>1200</v>
      </c>
      <c r="C14" s="8" t="n">
        <v>45349</v>
      </c>
      <c r="D14" s="1"/>
      <c r="E14" s="1"/>
    </row>
    <row r="15" customFormat="false" ht="15.75" hidden="false" customHeight="false" outlineLevel="0" collapsed="false">
      <c r="A15" s="1" t="s">
        <v>191</v>
      </c>
      <c r="B15" s="1" t="n">
        <v>50000</v>
      </c>
      <c r="C15" s="17" t="n">
        <v>45351</v>
      </c>
      <c r="D15" s="1"/>
      <c r="E15" s="1"/>
      <c r="F15" s="1"/>
    </row>
    <row r="16" customFormat="false" ht="15.75" hidden="false" customHeight="false" outlineLevel="0" collapsed="false">
      <c r="C16" s="17"/>
      <c r="D16" s="1"/>
      <c r="E16" s="1"/>
      <c r="F16" s="1"/>
    </row>
    <row r="17" customFormat="false" ht="15.75" hidden="false" customHeight="false" outlineLevel="0" collapsed="false">
      <c r="A17" s="1"/>
      <c r="C17" s="17"/>
      <c r="D17" s="1"/>
      <c r="E17" s="1"/>
      <c r="F17" s="1"/>
    </row>
    <row r="18" customFormat="false" ht="15.75" hidden="false" customHeight="false" outlineLevel="0" collapsed="false">
      <c r="A18" s="1" t="s">
        <v>176</v>
      </c>
      <c r="C18" s="8"/>
      <c r="D18" s="1"/>
      <c r="E18" s="1"/>
      <c r="F18" s="1"/>
    </row>
    <row r="19" customFormat="false" ht="15.75" hidden="false" customHeight="false" outlineLevel="0" collapsed="false">
      <c r="C19" s="8"/>
      <c r="D19" s="1"/>
      <c r="E19" s="1" t="s">
        <v>64</v>
      </c>
      <c r="F19" s="1" t="n">
        <v>0</v>
      </c>
    </row>
    <row r="20" customFormat="false" ht="15.75" hidden="false" customHeight="false" outlineLevel="0" collapsed="false">
      <c r="A20" s="1" t="s">
        <v>18</v>
      </c>
      <c r="B20" s="4" t="n">
        <f aca="false">SUM(B5:B19)</f>
        <v>74632</v>
      </c>
      <c r="D20" s="1"/>
      <c r="E20" s="1" t="s">
        <v>130</v>
      </c>
      <c r="F20" s="13" t="n">
        <f aca="false">B2+F13-B20</f>
        <v>26353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.51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6" t="n">
        <f aca="false">'Feb 2024'!F20</f>
        <v>26353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1" t="n">
        <v>8500</v>
      </c>
    </row>
    <row r="5" customFormat="false" ht="15.75" hidden="false" customHeight="false" outlineLevel="0" collapsed="false">
      <c r="A5" s="1" t="s">
        <v>126</v>
      </c>
      <c r="B5" s="1" t="n">
        <v>11500</v>
      </c>
      <c r="C5" s="8" t="n">
        <v>45352</v>
      </c>
      <c r="D5" s="1"/>
      <c r="E5" s="1" t="s">
        <v>4</v>
      </c>
      <c r="F5" s="1" t="n">
        <v>8500</v>
      </c>
    </row>
    <row r="6" customFormat="false" ht="15.75" hidden="false" customHeight="false" outlineLevel="0" collapsed="false">
      <c r="A6" s="1" t="s">
        <v>156</v>
      </c>
      <c r="B6" s="1" t="n">
        <v>500</v>
      </c>
      <c r="C6" s="8" t="n">
        <v>45353</v>
      </c>
      <c r="D6" s="1"/>
      <c r="E6" s="1" t="s">
        <v>6</v>
      </c>
      <c r="F6" s="1" t="n">
        <v>8500</v>
      </c>
    </row>
    <row r="7" customFormat="false" ht="15.75" hidden="false" customHeight="false" outlineLevel="0" collapsed="false">
      <c r="A7" s="1" t="s">
        <v>192</v>
      </c>
      <c r="B7" s="1" t="n">
        <v>30000</v>
      </c>
      <c r="C7" s="8" t="n">
        <v>45353</v>
      </c>
      <c r="D7" s="1"/>
      <c r="E7" s="1" t="s">
        <v>8</v>
      </c>
      <c r="F7" s="1" t="n">
        <v>8500</v>
      </c>
    </row>
    <row r="8" customFormat="false" ht="15.75" hidden="false" customHeight="false" outlineLevel="0" collapsed="false">
      <c r="A8" s="1" t="s">
        <v>193</v>
      </c>
      <c r="B8" s="1" t="n">
        <v>14549</v>
      </c>
      <c r="C8" s="8" t="n">
        <v>45357</v>
      </c>
      <c r="D8" s="1"/>
      <c r="E8" s="1" t="s">
        <v>10</v>
      </c>
      <c r="F8" s="1"/>
      <c r="G8" s="1" t="s">
        <v>194</v>
      </c>
    </row>
    <row r="9" customFormat="false" ht="15.75" hidden="false" customHeight="false" outlineLevel="0" collapsed="false">
      <c r="A9" s="1" t="s">
        <v>84</v>
      </c>
      <c r="B9" s="1" t="n">
        <v>7303</v>
      </c>
      <c r="C9" s="8" t="n">
        <v>337553</v>
      </c>
      <c r="D9" s="1"/>
      <c r="E9" s="1" t="s">
        <v>12</v>
      </c>
      <c r="F9" s="1" t="n">
        <v>8500</v>
      </c>
    </row>
    <row r="10" customFormat="false" ht="15.75" hidden="false" customHeight="false" outlineLevel="0" collapsed="false">
      <c r="A10" s="1" t="s">
        <v>15</v>
      </c>
      <c r="B10" s="1" t="n">
        <v>1920</v>
      </c>
      <c r="C10" s="8" t="n">
        <v>45359</v>
      </c>
      <c r="D10" s="1"/>
      <c r="E10" s="1" t="s">
        <v>14</v>
      </c>
      <c r="F10" s="1" t="n">
        <v>8500</v>
      </c>
    </row>
    <row r="11" customFormat="false" ht="15.75" hidden="false" customHeight="false" outlineLevel="0" collapsed="false">
      <c r="A11" s="1" t="s">
        <v>195</v>
      </c>
      <c r="B11" s="1" t="n">
        <v>2810</v>
      </c>
      <c r="C11" s="8" t="n">
        <v>45359</v>
      </c>
      <c r="D11" s="1"/>
      <c r="E11" s="1" t="s">
        <v>16</v>
      </c>
      <c r="F11" s="1" t="n">
        <v>8500</v>
      </c>
    </row>
    <row r="12" customFormat="false" ht="15.75" hidden="false" customHeight="false" outlineLevel="0" collapsed="false">
      <c r="A12" s="1" t="s">
        <v>195</v>
      </c>
      <c r="B12" s="1" t="n">
        <v>3000</v>
      </c>
      <c r="C12" s="8" t="n">
        <v>45358</v>
      </c>
      <c r="D12" s="1"/>
      <c r="E12" s="1" t="s">
        <v>138</v>
      </c>
    </row>
    <row r="13" customFormat="false" ht="15.75" hidden="false" customHeight="false" outlineLevel="0" collapsed="false">
      <c r="A13" s="1" t="s">
        <v>190</v>
      </c>
      <c r="B13" s="1" t="n">
        <v>110</v>
      </c>
      <c r="C13" s="17" t="n">
        <v>45362</v>
      </c>
      <c r="D13" s="1"/>
      <c r="E13" s="1" t="s">
        <v>18</v>
      </c>
      <c r="F13" s="4" t="n">
        <f aca="false">SUM(F4:F12)</f>
        <v>59500</v>
      </c>
    </row>
    <row r="14" customFormat="false" ht="15.75" hidden="false" customHeight="false" outlineLevel="0" collapsed="false">
      <c r="A14" s="1" t="s">
        <v>190</v>
      </c>
      <c r="B14" s="1" t="n">
        <v>331.8</v>
      </c>
      <c r="C14" s="8" t="n">
        <v>45366</v>
      </c>
      <c r="D14" s="1"/>
      <c r="E14" s="1"/>
    </row>
    <row r="15" customFormat="false" ht="15.75" hidden="false" customHeight="false" outlineLevel="0" collapsed="false">
      <c r="A15" s="1" t="s">
        <v>196</v>
      </c>
      <c r="B15" s="1" t="n">
        <v>1000</v>
      </c>
      <c r="C15" s="8" t="n">
        <v>45370</v>
      </c>
      <c r="D15" s="1"/>
      <c r="E15" s="1"/>
      <c r="F15" s="1"/>
    </row>
    <row r="16" customFormat="false" ht="15.75" hidden="false" customHeight="false" outlineLevel="0" collapsed="false">
      <c r="A16" s="1" t="s">
        <v>196</v>
      </c>
      <c r="B16" s="1" t="n">
        <v>1000</v>
      </c>
      <c r="C16" s="8" t="n">
        <v>45378</v>
      </c>
      <c r="D16" s="1"/>
      <c r="E16" s="1"/>
      <c r="F16" s="1"/>
    </row>
    <row r="17" customFormat="false" ht="15.75" hidden="false" customHeight="false" outlineLevel="0" collapsed="false">
      <c r="C17" s="8"/>
      <c r="D17" s="1"/>
      <c r="E17" s="1" t="s">
        <v>64</v>
      </c>
      <c r="F17" s="1" t="n">
        <v>0</v>
      </c>
    </row>
    <row r="18" customFormat="false" ht="15.75" hidden="false" customHeight="false" outlineLevel="0" collapsed="false">
      <c r="A18" s="1" t="s">
        <v>18</v>
      </c>
      <c r="B18" s="4" t="n">
        <f aca="false">SUM(B5:B17)</f>
        <v>74023.8</v>
      </c>
      <c r="D18" s="1"/>
      <c r="E18" s="1" t="s">
        <v>130</v>
      </c>
      <c r="F18" s="13" t="n">
        <f aca="false">B2+F13-B18</f>
        <v>11829.2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.51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6" t="n">
        <f aca="false">'Mar 2024'!F18</f>
        <v>11829.2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1" t="n">
        <v>3500</v>
      </c>
    </row>
    <row r="5" customFormat="false" ht="15.75" hidden="false" customHeight="false" outlineLevel="0" collapsed="false">
      <c r="A5" s="1" t="s">
        <v>126</v>
      </c>
      <c r="B5" s="1" t="n">
        <v>11500</v>
      </c>
      <c r="C5" s="8" t="n">
        <v>45383</v>
      </c>
      <c r="D5" s="1"/>
      <c r="E5" s="1" t="s">
        <v>4</v>
      </c>
      <c r="F5" s="1" t="n">
        <v>3500</v>
      </c>
    </row>
    <row r="6" customFormat="false" ht="15.75" hidden="false" customHeight="false" outlineLevel="0" collapsed="false">
      <c r="A6" s="1" t="s">
        <v>156</v>
      </c>
      <c r="B6" s="1" t="n">
        <v>500</v>
      </c>
      <c r="C6" s="8" t="n">
        <v>45384</v>
      </c>
      <c r="D6" s="1"/>
      <c r="E6" s="1" t="s">
        <v>6</v>
      </c>
      <c r="F6" s="1" t="n">
        <v>3500</v>
      </c>
    </row>
    <row r="7" customFormat="false" ht="15.75" hidden="false" customHeight="false" outlineLevel="0" collapsed="false">
      <c r="A7" s="1" t="s">
        <v>190</v>
      </c>
      <c r="B7" s="1" t="n">
        <v>350</v>
      </c>
      <c r="C7" s="8" t="n">
        <v>45386</v>
      </c>
      <c r="D7" s="1"/>
      <c r="E7" s="1" t="s">
        <v>8</v>
      </c>
      <c r="F7" s="1" t="n">
        <v>3500</v>
      </c>
    </row>
    <row r="8" customFormat="false" ht="15.75" hidden="false" customHeight="false" outlineLevel="0" collapsed="false">
      <c r="A8" s="1" t="s">
        <v>197</v>
      </c>
      <c r="B8" s="1" t="n">
        <v>438</v>
      </c>
      <c r="C8" s="8" t="n">
        <v>45387</v>
      </c>
      <c r="D8" s="1"/>
      <c r="E8" s="1" t="s">
        <v>10</v>
      </c>
      <c r="F8" s="1" t="n">
        <v>12000</v>
      </c>
      <c r="G8" s="1" t="s">
        <v>198</v>
      </c>
    </row>
    <row r="9" customFormat="false" ht="15.75" hidden="false" customHeight="false" outlineLevel="0" collapsed="false">
      <c r="A9" s="1" t="s">
        <v>84</v>
      </c>
      <c r="B9" s="1" t="n">
        <v>6608</v>
      </c>
      <c r="C9" s="8" t="n">
        <v>45391</v>
      </c>
      <c r="D9" s="1"/>
      <c r="E9" s="1" t="s">
        <v>12</v>
      </c>
      <c r="F9" s="1" t="n">
        <v>3500</v>
      </c>
    </row>
    <row r="10" customFormat="false" ht="15.75" hidden="false" customHeight="false" outlineLevel="0" collapsed="false">
      <c r="A10" s="1" t="s">
        <v>15</v>
      </c>
      <c r="B10" s="1" t="n">
        <v>2470</v>
      </c>
      <c r="C10" s="8" t="n">
        <v>45391</v>
      </c>
      <c r="D10" s="1"/>
      <c r="E10" s="1" t="s">
        <v>14</v>
      </c>
      <c r="F10" s="1" t="n">
        <v>3500</v>
      </c>
    </row>
    <row r="11" customFormat="false" ht="15.75" hidden="false" customHeight="false" outlineLevel="0" collapsed="false">
      <c r="A11" s="1" t="s">
        <v>196</v>
      </c>
      <c r="B11" s="1" t="n">
        <v>2000</v>
      </c>
      <c r="C11" s="8" t="n">
        <v>45397</v>
      </c>
      <c r="D11" s="1"/>
      <c r="E11" s="1" t="s">
        <v>16</v>
      </c>
      <c r="F11" s="1" t="n">
        <v>3500</v>
      </c>
    </row>
    <row r="12" customFormat="false" ht="15.75" hidden="false" customHeight="false" outlineLevel="0" collapsed="false">
      <c r="A12" s="1" t="s">
        <v>199</v>
      </c>
      <c r="B12" s="1" t="n">
        <v>100</v>
      </c>
      <c r="C12" s="8" t="n">
        <v>45402</v>
      </c>
      <c r="D12" s="1"/>
      <c r="E12" s="1" t="s">
        <v>138</v>
      </c>
      <c r="F12" s="1" t="n">
        <v>335</v>
      </c>
    </row>
    <row r="13" customFormat="false" ht="15.75" hidden="false" customHeight="false" outlineLevel="0" collapsed="false">
      <c r="A13" s="1" t="s">
        <v>24</v>
      </c>
      <c r="B13" s="1" t="n">
        <v>2000</v>
      </c>
      <c r="C13" s="17" t="n">
        <v>45405</v>
      </c>
      <c r="D13" s="1"/>
      <c r="E13" s="1" t="s">
        <v>18</v>
      </c>
      <c r="F13" s="4" t="n">
        <f aca="false">SUM(F4:F12)</f>
        <v>36835</v>
      </c>
    </row>
    <row r="14" customFormat="false" ht="15.75" hidden="false" customHeight="false" outlineLevel="0" collapsed="false">
      <c r="A14" s="1" t="s">
        <v>200</v>
      </c>
      <c r="B14" s="1" t="n">
        <v>13017</v>
      </c>
      <c r="C14" s="17" t="n">
        <v>45407</v>
      </c>
      <c r="D14" s="1"/>
      <c r="E14" s="1"/>
    </row>
    <row r="15" customFormat="false" ht="15.75" hidden="false" customHeight="false" outlineLevel="0" collapsed="false">
      <c r="A15" s="1" t="s">
        <v>196</v>
      </c>
      <c r="C15" s="8"/>
      <c r="D15" s="1"/>
      <c r="E15" s="1"/>
      <c r="F15" s="1"/>
    </row>
    <row r="16" customFormat="false" ht="15.75" hidden="false" customHeight="false" outlineLevel="0" collapsed="false">
      <c r="C16" s="8"/>
      <c r="D16" s="1"/>
      <c r="E16" s="1" t="s">
        <v>64</v>
      </c>
      <c r="F16" s="1" t="n">
        <v>0</v>
      </c>
    </row>
    <row r="17" customFormat="false" ht="15.75" hidden="false" customHeight="false" outlineLevel="0" collapsed="false">
      <c r="A17" s="1" t="s">
        <v>18</v>
      </c>
      <c r="B17" s="4" t="n">
        <f aca="false">SUM(B5:B16)</f>
        <v>38983</v>
      </c>
      <c r="D17" s="1"/>
      <c r="E17" s="1" t="s">
        <v>130</v>
      </c>
      <c r="F17" s="13" t="n">
        <f aca="false">B2+F13-B17</f>
        <v>9681.2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.51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6" t="n">
        <f aca="false">'April 2024'!F17</f>
        <v>9681.2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1" t="n">
        <v>3500</v>
      </c>
    </row>
    <row r="5" customFormat="false" ht="15.75" hidden="false" customHeight="false" outlineLevel="0" collapsed="false">
      <c r="A5" s="1" t="s">
        <v>126</v>
      </c>
      <c r="B5" s="1" t="n">
        <v>11500</v>
      </c>
      <c r="C5" s="8" t="n">
        <v>45413</v>
      </c>
      <c r="D5" s="1"/>
      <c r="E5" s="1" t="s">
        <v>4</v>
      </c>
      <c r="F5" s="1" t="n">
        <v>3500</v>
      </c>
    </row>
    <row r="6" customFormat="false" ht="15.75" hidden="false" customHeight="false" outlineLevel="0" collapsed="false">
      <c r="A6" s="1" t="s">
        <v>156</v>
      </c>
      <c r="B6" s="1" t="n">
        <v>500</v>
      </c>
      <c r="C6" s="8" t="n">
        <v>45414</v>
      </c>
      <c r="D6" s="1"/>
      <c r="E6" s="1" t="s">
        <v>6</v>
      </c>
      <c r="F6" s="1" t="n">
        <v>3500</v>
      </c>
    </row>
    <row r="7" customFormat="false" ht="15.75" hidden="false" customHeight="false" outlineLevel="0" collapsed="false">
      <c r="A7" s="1" t="s">
        <v>201</v>
      </c>
      <c r="B7" s="1" t="n">
        <v>500</v>
      </c>
      <c r="C7" s="8" t="n">
        <v>45415</v>
      </c>
      <c r="D7" s="1"/>
      <c r="E7" s="1" t="s">
        <v>8</v>
      </c>
      <c r="F7" s="1" t="n">
        <v>3500</v>
      </c>
    </row>
    <row r="8" customFormat="false" ht="15.75" hidden="false" customHeight="false" outlineLevel="0" collapsed="false">
      <c r="A8" s="1" t="s">
        <v>197</v>
      </c>
      <c r="B8" s="1"/>
      <c r="C8" s="8"/>
      <c r="D8" s="1"/>
      <c r="E8" s="1" t="s">
        <v>10</v>
      </c>
      <c r="F8" s="1" t="n">
        <v>3500</v>
      </c>
    </row>
    <row r="9" customFormat="false" ht="15.75" hidden="false" customHeight="false" outlineLevel="0" collapsed="false">
      <c r="A9" s="1" t="s">
        <v>84</v>
      </c>
      <c r="B9" s="1" t="n">
        <v>5367</v>
      </c>
      <c r="C9" s="8" t="n">
        <v>45422</v>
      </c>
      <c r="D9" s="1"/>
      <c r="E9" s="1" t="s">
        <v>12</v>
      </c>
      <c r="F9" s="1" t="n">
        <v>3500</v>
      </c>
    </row>
    <row r="10" customFormat="false" ht="15.75" hidden="false" customHeight="false" outlineLevel="0" collapsed="false">
      <c r="A10" s="1" t="s">
        <v>15</v>
      </c>
      <c r="B10" s="1" t="n">
        <v>2404</v>
      </c>
      <c r="C10" s="8" t="n">
        <v>45422</v>
      </c>
      <c r="D10" s="1"/>
      <c r="E10" s="1" t="s">
        <v>14</v>
      </c>
      <c r="F10" s="1" t="n">
        <v>3500</v>
      </c>
    </row>
    <row r="11" customFormat="false" ht="15.75" hidden="false" customHeight="false" outlineLevel="0" collapsed="false">
      <c r="A11" s="1" t="s">
        <v>24</v>
      </c>
      <c r="B11" s="1" t="n">
        <v>2000</v>
      </c>
      <c r="C11" s="8" t="n">
        <v>45440</v>
      </c>
      <c r="D11" s="1"/>
      <c r="E11" s="1" t="s">
        <v>16</v>
      </c>
      <c r="F11" s="1" t="n">
        <v>3500</v>
      </c>
    </row>
    <row r="12" customFormat="false" ht="15.75" hidden="false" customHeight="false" outlineLevel="0" collapsed="false">
      <c r="A12" s="1" t="s">
        <v>195</v>
      </c>
      <c r="C12" s="8"/>
      <c r="D12" s="1"/>
      <c r="E12" s="1" t="s">
        <v>138</v>
      </c>
    </row>
    <row r="13" customFormat="false" ht="15.75" hidden="false" customHeight="false" outlineLevel="0" collapsed="false">
      <c r="A13" s="1" t="s">
        <v>190</v>
      </c>
      <c r="C13" s="17"/>
      <c r="D13" s="1"/>
      <c r="E13" s="1" t="s">
        <v>18</v>
      </c>
      <c r="F13" s="4" t="n">
        <f aca="false">SUM(F4:F12)</f>
        <v>28000</v>
      </c>
    </row>
    <row r="14" customFormat="false" ht="15.75" hidden="false" customHeight="false" outlineLevel="0" collapsed="false">
      <c r="A14" s="1" t="s">
        <v>190</v>
      </c>
      <c r="C14" s="8"/>
      <c r="D14" s="1"/>
      <c r="E14" s="1"/>
    </row>
    <row r="15" customFormat="false" ht="15.75" hidden="false" customHeight="false" outlineLevel="0" collapsed="false">
      <c r="A15" s="1" t="s">
        <v>196</v>
      </c>
      <c r="C15" s="8"/>
      <c r="D15" s="1"/>
      <c r="E15" s="1"/>
      <c r="F15" s="1"/>
    </row>
    <row r="16" customFormat="false" ht="15.75" hidden="false" customHeight="false" outlineLevel="0" collapsed="false">
      <c r="C16" s="8"/>
      <c r="D16" s="1"/>
      <c r="E16" s="1" t="s">
        <v>64</v>
      </c>
      <c r="F16" s="1" t="n">
        <v>0</v>
      </c>
    </row>
    <row r="17" customFormat="false" ht="15.75" hidden="false" customHeight="false" outlineLevel="0" collapsed="false">
      <c r="A17" s="1" t="s">
        <v>18</v>
      </c>
      <c r="B17" s="4" t="n">
        <f aca="false">SUM(B5:B16)</f>
        <v>22271</v>
      </c>
      <c r="D17" s="1"/>
      <c r="E17" s="1" t="s">
        <v>130</v>
      </c>
      <c r="F17" s="13" t="n">
        <f aca="false">B2+F13-B17</f>
        <v>15410.2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.51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6" t="n">
        <f aca="false">'May 2024'!F17</f>
        <v>15410.2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1" t="n">
        <v>3500</v>
      </c>
    </row>
    <row r="5" customFormat="false" ht="15.75" hidden="false" customHeight="false" outlineLevel="0" collapsed="false">
      <c r="A5" s="1" t="s">
        <v>126</v>
      </c>
      <c r="B5" s="1" t="n">
        <v>13500</v>
      </c>
      <c r="C5" s="8" t="n">
        <v>45444</v>
      </c>
      <c r="D5" s="1"/>
      <c r="E5" s="1" t="s">
        <v>4</v>
      </c>
      <c r="F5" s="1" t="n">
        <v>3500</v>
      </c>
    </row>
    <row r="6" customFormat="false" ht="15.75" hidden="false" customHeight="false" outlineLevel="0" collapsed="false">
      <c r="A6" s="1" t="s">
        <v>156</v>
      </c>
      <c r="B6" s="1" t="n">
        <v>500</v>
      </c>
      <c r="C6" s="8" t="n">
        <v>45447</v>
      </c>
      <c r="D6" s="1"/>
      <c r="E6" s="1" t="s">
        <v>6</v>
      </c>
      <c r="F6" s="1" t="n">
        <v>3500</v>
      </c>
    </row>
    <row r="7" customFormat="false" ht="15.75" hidden="false" customHeight="false" outlineLevel="0" collapsed="false">
      <c r="A7" s="1" t="s">
        <v>202</v>
      </c>
      <c r="B7" s="1" t="n">
        <v>710</v>
      </c>
      <c r="C7" s="8" t="n">
        <v>45451</v>
      </c>
      <c r="D7" s="1"/>
      <c r="E7" s="1" t="s">
        <v>8</v>
      </c>
      <c r="F7" s="1" t="n">
        <v>3500</v>
      </c>
    </row>
    <row r="8" customFormat="false" ht="15.75" hidden="false" customHeight="false" outlineLevel="0" collapsed="false">
      <c r="A8" s="1" t="s">
        <v>197</v>
      </c>
      <c r="B8" s="1"/>
      <c r="C8" s="8"/>
      <c r="D8" s="1"/>
      <c r="E8" s="1" t="s">
        <v>10</v>
      </c>
      <c r="F8" s="1" t="n">
        <v>3500</v>
      </c>
    </row>
    <row r="9" customFormat="false" ht="15.75" hidden="false" customHeight="false" outlineLevel="0" collapsed="false">
      <c r="A9" s="1" t="s">
        <v>84</v>
      </c>
      <c r="B9" s="1" t="n">
        <v>4481</v>
      </c>
      <c r="C9" s="8" t="n">
        <v>45452</v>
      </c>
      <c r="D9" s="1"/>
      <c r="E9" s="1" t="s">
        <v>12</v>
      </c>
      <c r="F9" s="1" t="n">
        <v>3500</v>
      </c>
    </row>
    <row r="10" customFormat="false" ht="15.75" hidden="false" customHeight="false" outlineLevel="0" collapsed="false">
      <c r="A10" s="1" t="s">
        <v>15</v>
      </c>
      <c r="B10" s="1" t="n">
        <v>2316</v>
      </c>
      <c r="C10" s="8" t="n">
        <v>45452</v>
      </c>
      <c r="D10" s="1"/>
      <c r="E10" s="1" t="s">
        <v>14</v>
      </c>
      <c r="F10" s="1" t="n">
        <v>3500</v>
      </c>
    </row>
    <row r="11" customFormat="false" ht="15.75" hidden="false" customHeight="false" outlineLevel="0" collapsed="false">
      <c r="A11" s="1" t="s">
        <v>203</v>
      </c>
      <c r="B11" s="1" t="n">
        <v>65</v>
      </c>
      <c r="C11" s="8" t="n">
        <v>45464</v>
      </c>
      <c r="D11" s="1"/>
      <c r="E11" s="1" t="s">
        <v>16</v>
      </c>
      <c r="F11" s="1" t="n">
        <v>3500</v>
      </c>
    </row>
    <row r="12" customFormat="false" ht="15.75" hidden="false" customHeight="false" outlineLevel="0" collapsed="false">
      <c r="A12" s="1" t="s">
        <v>60</v>
      </c>
      <c r="B12" s="1" t="n">
        <v>3000</v>
      </c>
      <c r="C12" s="8" t="n">
        <v>45468</v>
      </c>
      <c r="D12" s="1"/>
      <c r="E12" s="1" t="s">
        <v>138</v>
      </c>
      <c r="F12" s="1" t="n">
        <v>156</v>
      </c>
    </row>
    <row r="13" customFormat="false" ht="15.75" hidden="false" customHeight="false" outlineLevel="0" collapsed="false">
      <c r="A13" s="1" t="s">
        <v>204</v>
      </c>
      <c r="B13" s="1" t="n">
        <v>1500</v>
      </c>
      <c r="C13" s="17" t="n">
        <v>45470</v>
      </c>
      <c r="D13" s="1"/>
      <c r="E13" s="1" t="s">
        <v>18</v>
      </c>
      <c r="F13" s="4" t="n">
        <f aca="false">SUM(F4:F12)</f>
        <v>28156</v>
      </c>
    </row>
    <row r="14" customFormat="false" ht="15.75" hidden="false" customHeight="false" outlineLevel="0" collapsed="false">
      <c r="A14" s="1" t="s">
        <v>60</v>
      </c>
      <c r="B14" s="1" t="n">
        <v>5000</v>
      </c>
      <c r="C14" s="8" t="n">
        <v>45471</v>
      </c>
      <c r="D14" s="1"/>
      <c r="E14" s="1"/>
    </row>
    <row r="15" customFormat="false" ht="15.75" hidden="false" customHeight="false" outlineLevel="0" collapsed="false">
      <c r="A15" s="1"/>
      <c r="C15" s="8"/>
      <c r="D15" s="1"/>
      <c r="E15" s="1"/>
      <c r="F15" s="1"/>
    </row>
    <row r="16" customFormat="false" ht="15.75" hidden="false" customHeight="false" outlineLevel="0" collapsed="false">
      <c r="C16" s="8"/>
      <c r="D16" s="1"/>
      <c r="E16" s="1" t="s">
        <v>64</v>
      </c>
      <c r="F16" s="1" t="n">
        <v>0</v>
      </c>
    </row>
    <row r="17" customFormat="false" ht="15.75" hidden="false" customHeight="false" outlineLevel="0" collapsed="false">
      <c r="A17" s="1" t="s">
        <v>18</v>
      </c>
      <c r="B17" s="4" t="n">
        <f aca="false">SUM(B5:B16)</f>
        <v>31072</v>
      </c>
      <c r="D17" s="1"/>
      <c r="E17" s="1" t="s">
        <v>130</v>
      </c>
      <c r="F17" s="13" t="n">
        <f aca="false">B2+F13-B17</f>
        <v>12494.2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.51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6" t="n">
        <v>12494.2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1" t="n">
        <v>3500</v>
      </c>
    </row>
    <row r="5" customFormat="false" ht="15.75" hidden="false" customHeight="false" outlineLevel="0" collapsed="false">
      <c r="A5" s="1" t="s">
        <v>126</v>
      </c>
      <c r="B5" s="1" t="n">
        <v>5500</v>
      </c>
      <c r="C5" s="8" t="n">
        <v>45474</v>
      </c>
      <c r="D5" s="1"/>
      <c r="E5" s="1" t="s">
        <v>4</v>
      </c>
      <c r="F5" s="1" t="n">
        <v>3500</v>
      </c>
    </row>
    <row r="6" customFormat="false" ht="15.75" hidden="false" customHeight="false" outlineLevel="0" collapsed="false">
      <c r="A6" s="1" t="s">
        <v>156</v>
      </c>
      <c r="B6" s="1" t="n">
        <v>500</v>
      </c>
      <c r="C6" s="8" t="n">
        <v>45474</v>
      </c>
      <c r="D6" s="1"/>
      <c r="E6" s="1" t="s">
        <v>6</v>
      </c>
      <c r="F6" s="1" t="n">
        <v>3500</v>
      </c>
    </row>
    <row r="7" customFormat="false" ht="15.75" hidden="false" customHeight="false" outlineLevel="0" collapsed="false">
      <c r="A7" s="1" t="s">
        <v>180</v>
      </c>
      <c r="B7" s="1" t="n">
        <v>11000</v>
      </c>
      <c r="C7" s="8" t="n">
        <v>45474</v>
      </c>
      <c r="D7" s="1"/>
      <c r="E7" s="1" t="s">
        <v>8</v>
      </c>
      <c r="F7" s="1" t="n">
        <v>3500</v>
      </c>
    </row>
    <row r="8" customFormat="false" ht="15.75" hidden="false" customHeight="false" outlineLevel="0" collapsed="false">
      <c r="A8" s="1" t="s">
        <v>197</v>
      </c>
      <c r="B8" s="1"/>
      <c r="C8" s="8"/>
      <c r="D8" s="1"/>
      <c r="E8" s="1" t="s">
        <v>10</v>
      </c>
      <c r="F8" s="1" t="n">
        <v>3500</v>
      </c>
    </row>
    <row r="9" customFormat="false" ht="15.75" hidden="false" customHeight="false" outlineLevel="0" collapsed="false">
      <c r="A9" s="1" t="s">
        <v>84</v>
      </c>
      <c r="B9" s="1" t="n">
        <v>4414</v>
      </c>
      <c r="C9" s="8" t="n">
        <v>45479</v>
      </c>
      <c r="D9" s="1"/>
      <c r="E9" s="1" t="s">
        <v>12</v>
      </c>
      <c r="F9" s="1" t="n">
        <v>3500</v>
      </c>
    </row>
    <row r="10" customFormat="false" ht="15.75" hidden="false" customHeight="false" outlineLevel="0" collapsed="false">
      <c r="A10" s="1" t="s">
        <v>15</v>
      </c>
      <c r="B10" s="1" t="n">
        <v>2316</v>
      </c>
      <c r="C10" s="8" t="n">
        <v>45479</v>
      </c>
      <c r="D10" s="1"/>
      <c r="E10" s="1" t="s">
        <v>14</v>
      </c>
      <c r="F10" s="1" t="n">
        <v>3500</v>
      </c>
    </row>
    <row r="11" customFormat="false" ht="15.75" hidden="false" customHeight="false" outlineLevel="0" collapsed="false">
      <c r="A11" s="1" t="s">
        <v>60</v>
      </c>
      <c r="B11" s="1" t="n">
        <v>2000</v>
      </c>
      <c r="C11" s="8" t="n">
        <v>45481</v>
      </c>
      <c r="D11" s="1"/>
      <c r="E11" s="1" t="s">
        <v>16</v>
      </c>
      <c r="F11" s="1" t="n">
        <v>3500</v>
      </c>
    </row>
    <row r="12" customFormat="false" ht="15.75" hidden="false" customHeight="false" outlineLevel="0" collapsed="false">
      <c r="A12" s="1" t="s">
        <v>60</v>
      </c>
      <c r="B12" s="1" t="n">
        <v>2000</v>
      </c>
      <c r="C12" s="8" t="n">
        <v>45501</v>
      </c>
      <c r="D12" s="1"/>
      <c r="E12" s="1" t="s">
        <v>138</v>
      </c>
    </row>
    <row r="13" customFormat="false" ht="15.75" hidden="false" customHeight="false" outlineLevel="0" collapsed="false">
      <c r="A13" s="1" t="s">
        <v>204</v>
      </c>
      <c r="B13" s="1"/>
      <c r="C13" s="17"/>
      <c r="D13" s="1"/>
      <c r="E13" s="1" t="s">
        <v>18</v>
      </c>
      <c r="F13" s="4" t="n">
        <f aca="false">SUM(F4:F12)</f>
        <v>28000</v>
      </c>
    </row>
    <row r="14" customFormat="false" ht="15.75" hidden="false" customHeight="false" outlineLevel="0" collapsed="false">
      <c r="A14" s="1" t="s">
        <v>60</v>
      </c>
      <c r="B14" s="1"/>
      <c r="C14" s="8"/>
      <c r="D14" s="1"/>
      <c r="E14" s="1"/>
    </row>
    <row r="15" customFormat="false" ht="15.75" hidden="false" customHeight="false" outlineLevel="0" collapsed="false">
      <c r="A15" s="1"/>
      <c r="C15" s="8"/>
      <c r="D15" s="1"/>
      <c r="E15" s="1"/>
      <c r="F15" s="1"/>
    </row>
    <row r="16" customFormat="false" ht="15.75" hidden="false" customHeight="false" outlineLevel="0" collapsed="false">
      <c r="C16" s="8"/>
      <c r="D16" s="1"/>
      <c r="E16" s="1" t="s">
        <v>64</v>
      </c>
      <c r="F16" s="1" t="n">
        <v>0</v>
      </c>
    </row>
    <row r="17" customFormat="false" ht="15.75" hidden="false" customHeight="false" outlineLevel="0" collapsed="false">
      <c r="A17" s="1" t="s">
        <v>18</v>
      </c>
      <c r="B17" s="4" t="n">
        <f aca="false">SUM(B5:B16)</f>
        <v>27730</v>
      </c>
      <c r="D17" s="1"/>
      <c r="E17" s="1" t="s">
        <v>130</v>
      </c>
      <c r="F17" s="13" t="n">
        <f aca="false">B2+F13-B17</f>
        <v>12764.2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5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6" t="n">
        <f aca="false">'July 2024'!F17</f>
        <v>12764.2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1" t="n">
        <v>3500</v>
      </c>
    </row>
    <row r="5" customFormat="false" ht="15.75" hidden="false" customHeight="false" outlineLevel="0" collapsed="false">
      <c r="A5" s="1" t="s">
        <v>126</v>
      </c>
      <c r="B5" s="1" t="n">
        <v>11500</v>
      </c>
      <c r="C5" s="8" t="n">
        <v>45505</v>
      </c>
      <c r="D5" s="1"/>
      <c r="E5" s="1" t="s">
        <v>4</v>
      </c>
      <c r="F5" s="1" t="n">
        <v>3500</v>
      </c>
    </row>
    <row r="6" customFormat="false" ht="15.75" hidden="false" customHeight="false" outlineLevel="0" collapsed="false">
      <c r="A6" s="1" t="s">
        <v>156</v>
      </c>
      <c r="B6" s="1" t="n">
        <v>500</v>
      </c>
      <c r="C6" s="8" t="n">
        <v>45505</v>
      </c>
      <c r="D6" s="1"/>
      <c r="E6" s="1" t="s">
        <v>6</v>
      </c>
      <c r="F6" s="1" t="n">
        <v>3500</v>
      </c>
    </row>
    <row r="7" customFormat="false" ht="15.75" hidden="false" customHeight="false" outlineLevel="0" collapsed="false">
      <c r="A7" s="1" t="s">
        <v>24</v>
      </c>
      <c r="B7" s="1" t="n">
        <v>2000</v>
      </c>
      <c r="C7" s="8" t="n">
        <v>45511</v>
      </c>
      <c r="D7" s="1"/>
      <c r="E7" s="1" t="s">
        <v>8</v>
      </c>
      <c r="F7" s="1" t="n">
        <v>3500</v>
      </c>
    </row>
    <row r="8" customFormat="false" ht="15.75" hidden="false" customHeight="false" outlineLevel="0" collapsed="false">
      <c r="A8" s="1" t="s">
        <v>84</v>
      </c>
      <c r="B8" s="1" t="n">
        <v>5119</v>
      </c>
      <c r="C8" s="8" t="n">
        <v>45514</v>
      </c>
      <c r="D8" s="1"/>
      <c r="E8" s="1" t="s">
        <v>10</v>
      </c>
      <c r="F8" s="1" t="n">
        <v>7000</v>
      </c>
    </row>
    <row r="9" customFormat="false" ht="15.75" hidden="false" customHeight="false" outlineLevel="0" collapsed="false">
      <c r="A9" s="1" t="s">
        <v>15</v>
      </c>
      <c r="B9" s="1" t="n">
        <v>2316</v>
      </c>
      <c r="C9" s="8" t="n">
        <v>45514</v>
      </c>
      <c r="D9" s="1"/>
      <c r="E9" s="1" t="s">
        <v>12</v>
      </c>
      <c r="F9" s="1" t="n">
        <v>3500</v>
      </c>
    </row>
    <row r="10" customFormat="false" ht="15.75" hidden="false" customHeight="false" outlineLevel="0" collapsed="false">
      <c r="A10" s="1" t="s">
        <v>24</v>
      </c>
      <c r="B10" s="1" t="n">
        <v>2000</v>
      </c>
      <c r="C10" s="8" t="n">
        <v>45523</v>
      </c>
      <c r="D10" s="1"/>
      <c r="E10" s="1" t="s">
        <v>14</v>
      </c>
      <c r="F10" s="1" t="n">
        <v>3500</v>
      </c>
    </row>
    <row r="11" customFormat="false" ht="15.75" hidden="false" customHeight="false" outlineLevel="0" collapsed="false">
      <c r="A11" s="1" t="s">
        <v>205</v>
      </c>
      <c r="B11" s="1" t="n">
        <v>500</v>
      </c>
      <c r="C11" s="8" t="n">
        <v>45523</v>
      </c>
      <c r="D11" s="1"/>
      <c r="E11" s="1" t="s">
        <v>16</v>
      </c>
      <c r="F11" s="1" t="n">
        <v>3500</v>
      </c>
    </row>
    <row r="12" customFormat="false" ht="15.75" hidden="false" customHeight="false" outlineLevel="0" collapsed="false">
      <c r="A12" s="1" t="s">
        <v>206</v>
      </c>
      <c r="B12" s="1" t="n">
        <v>1500</v>
      </c>
      <c r="C12" s="17" t="n">
        <v>45523</v>
      </c>
      <c r="D12" s="1"/>
      <c r="E12" s="1" t="s">
        <v>138</v>
      </c>
    </row>
    <row r="13" customFormat="false" ht="15.75" hidden="false" customHeight="false" outlineLevel="0" collapsed="false">
      <c r="A13" s="1" t="s">
        <v>207</v>
      </c>
      <c r="B13" s="1" t="n">
        <v>225</v>
      </c>
      <c r="C13" s="8" t="n">
        <v>45524</v>
      </c>
      <c r="D13" s="1"/>
      <c r="E13" s="1" t="s">
        <v>18</v>
      </c>
      <c r="F13" s="4" t="n">
        <f aca="false">SUM(F4:F12)</f>
        <v>31500</v>
      </c>
    </row>
    <row r="14" customFormat="false" ht="15.75" hidden="false" customHeight="false" outlineLevel="0" collapsed="false">
      <c r="A14" s="1" t="s">
        <v>208</v>
      </c>
      <c r="B14" s="1" t="n">
        <v>881.05</v>
      </c>
      <c r="C14" s="8" t="n">
        <v>45525</v>
      </c>
      <c r="D14" s="1"/>
      <c r="E14" s="1"/>
    </row>
    <row r="15" customFormat="false" ht="15.75" hidden="false" customHeight="false" outlineLevel="0" collapsed="false">
      <c r="A15" s="1" t="s">
        <v>60</v>
      </c>
      <c r="B15" s="1" t="n">
        <v>3000</v>
      </c>
      <c r="C15" s="8" t="n">
        <v>45534</v>
      </c>
      <c r="D15" s="1"/>
      <c r="E15" s="1"/>
      <c r="F15" s="1"/>
    </row>
    <row r="16" customFormat="false" ht="15.75" hidden="false" customHeight="false" outlineLevel="0" collapsed="false">
      <c r="C16" s="8"/>
      <c r="D16" s="1"/>
      <c r="E16" s="1"/>
      <c r="F16" s="1"/>
    </row>
    <row r="17" customFormat="false" ht="15.75" hidden="false" customHeight="false" outlineLevel="0" collapsed="false">
      <c r="A17" s="1" t="s">
        <v>18</v>
      </c>
      <c r="B17" s="4" t="n">
        <f aca="false">SUM(B5:B16)</f>
        <v>29541.05</v>
      </c>
      <c r="D17" s="1"/>
      <c r="E17" s="1" t="s">
        <v>64</v>
      </c>
      <c r="F17" s="1" t="n">
        <v>0</v>
      </c>
    </row>
    <row r="18" customFormat="false" ht="15.75" hidden="false" customHeight="false" outlineLevel="0" collapsed="false">
      <c r="D18" s="1"/>
      <c r="E18" s="1" t="s">
        <v>130</v>
      </c>
      <c r="F18" s="13" t="n">
        <f aca="false">B2+F13-B17</f>
        <v>14723.15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1.88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209</v>
      </c>
      <c r="B2" s="16" t="n">
        <f aca="false">'May 2026'!F21</f>
        <v>53591.15</v>
      </c>
      <c r="C2" s="1"/>
      <c r="H2" s="18"/>
      <c r="I2" s="18"/>
    </row>
    <row r="3" customFormat="false" ht="15.75" hidden="false" customHeight="false" outlineLevel="0" collapsed="false">
      <c r="A3" s="1"/>
      <c r="C3" s="1" t="s">
        <v>47</v>
      </c>
      <c r="H3" s="19"/>
      <c r="I3" s="19"/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20" t="n">
        <v>3500</v>
      </c>
      <c r="G4" s="1" t="s">
        <v>210</v>
      </c>
    </row>
    <row r="5" customFormat="false" ht="15.75" hidden="false" customHeight="false" outlineLevel="0" collapsed="false">
      <c r="A5" s="1" t="s">
        <v>70</v>
      </c>
      <c r="B5" s="1" t="n">
        <v>7500</v>
      </c>
      <c r="C5" s="8" t="n">
        <v>46174</v>
      </c>
      <c r="D5" s="1"/>
      <c r="E5" s="1" t="s">
        <v>4</v>
      </c>
      <c r="F5" s="20" t="n">
        <v>3500</v>
      </c>
      <c r="G5" s="1" t="s">
        <v>210</v>
      </c>
    </row>
    <row r="6" customFormat="false" ht="15.75" hidden="false" customHeight="false" outlineLevel="0" collapsed="false">
      <c r="A6" s="1" t="s">
        <v>72</v>
      </c>
      <c r="B6" s="1" t="n">
        <v>500</v>
      </c>
      <c r="C6" s="8" t="n">
        <v>46179</v>
      </c>
      <c r="D6" s="1"/>
      <c r="E6" s="1" t="s">
        <v>6</v>
      </c>
      <c r="F6" s="20" t="n">
        <v>3500</v>
      </c>
      <c r="G6" s="1" t="s">
        <v>210</v>
      </c>
    </row>
    <row r="7" customFormat="false" ht="15.75" hidden="false" customHeight="false" outlineLevel="0" collapsed="false">
      <c r="A7" s="1" t="s">
        <v>68</v>
      </c>
      <c r="B7" s="1" t="n">
        <v>3661</v>
      </c>
      <c r="C7" s="8" t="n">
        <v>46179</v>
      </c>
      <c r="D7" s="1"/>
      <c r="E7" s="1" t="s">
        <v>8</v>
      </c>
      <c r="F7" s="20" t="n">
        <v>3500</v>
      </c>
      <c r="G7" s="1" t="s">
        <v>210</v>
      </c>
    </row>
    <row r="8" customFormat="false" ht="15.75" hidden="false" customHeight="false" outlineLevel="0" collapsed="false">
      <c r="A8" s="1" t="s">
        <v>196</v>
      </c>
      <c r="B8" s="1" t="n">
        <v>5000</v>
      </c>
      <c r="C8" s="8" t="n">
        <v>46184</v>
      </c>
      <c r="D8" s="1"/>
      <c r="E8" s="1" t="s">
        <v>10</v>
      </c>
      <c r="F8" s="20"/>
      <c r="G8" s="1"/>
    </row>
    <row r="9" customFormat="false" ht="15.75" hidden="false" customHeight="false" outlineLevel="0" collapsed="false">
      <c r="A9" s="1" t="s">
        <v>24</v>
      </c>
      <c r="B9" s="21" t="n">
        <v>2000</v>
      </c>
      <c r="C9" s="8" t="n">
        <v>46184</v>
      </c>
      <c r="D9" s="1"/>
      <c r="E9" s="1" t="s">
        <v>12</v>
      </c>
      <c r="F9" s="20" t="n">
        <v>3500</v>
      </c>
      <c r="G9" s="1" t="s">
        <v>210</v>
      </c>
    </row>
    <row r="10" customFormat="false" ht="15.75" hidden="false" customHeight="false" outlineLevel="0" collapsed="false">
      <c r="A10" s="1" t="s">
        <v>15</v>
      </c>
      <c r="B10" s="1" t="n">
        <v>4240</v>
      </c>
      <c r="C10" s="8" t="n">
        <v>46185</v>
      </c>
      <c r="D10" s="1"/>
      <c r="E10" s="1" t="s">
        <v>14</v>
      </c>
      <c r="F10" s="20" t="n">
        <v>3500</v>
      </c>
      <c r="G10" s="1" t="s">
        <v>210</v>
      </c>
    </row>
    <row r="11" customFormat="false" ht="15.75" hidden="false" customHeight="false" outlineLevel="0" collapsed="false">
      <c r="A11" s="1" t="s">
        <v>196</v>
      </c>
      <c r="B11" s="21" t="n">
        <v>1000</v>
      </c>
      <c r="C11" s="8" t="n">
        <v>46194</v>
      </c>
      <c r="D11" s="1"/>
      <c r="E11" s="1" t="s">
        <v>16</v>
      </c>
      <c r="F11" s="20" t="n">
        <v>3500</v>
      </c>
      <c r="G11" s="1" t="s">
        <v>210</v>
      </c>
    </row>
    <row r="12" customFormat="false" ht="15.75" hidden="false" customHeight="false" outlineLevel="0" collapsed="false">
      <c r="C12" s="8"/>
      <c r="D12" s="1"/>
      <c r="E12" s="1" t="s">
        <v>138</v>
      </c>
    </row>
    <row r="13" customFormat="false" ht="15.75" hidden="false" customHeight="false" outlineLevel="0" collapsed="false">
      <c r="C13" s="8"/>
      <c r="D13" s="1"/>
      <c r="E13" s="1" t="s">
        <v>18</v>
      </c>
      <c r="F13" s="4" t="n">
        <f aca="false">SUM(F4:F12)</f>
        <v>24500</v>
      </c>
    </row>
    <row r="14" customFormat="false" ht="15.75" hidden="false" customHeight="false" outlineLevel="0" collapsed="false">
      <c r="C14" s="8"/>
      <c r="D14" s="1"/>
      <c r="E14" s="1"/>
    </row>
    <row r="15" customFormat="false" ht="15.75" hidden="false" customHeight="false" outlineLevel="0" collapsed="false">
      <c r="C15" s="8"/>
      <c r="D15" s="1"/>
      <c r="E15" s="1"/>
      <c r="F15" s="1"/>
    </row>
    <row r="16" customFormat="false" ht="15.75" hidden="false" customHeight="false" outlineLevel="0" collapsed="false">
      <c r="C16" s="8"/>
      <c r="D16" s="1"/>
      <c r="E16" s="1"/>
      <c r="F16" s="1"/>
    </row>
    <row r="17" customFormat="false" ht="15.75" hidden="false" customHeight="false" outlineLevel="0" collapsed="false">
      <c r="C17" s="8"/>
      <c r="D17" s="1"/>
      <c r="E17" s="1"/>
      <c r="F17" s="1"/>
    </row>
    <row r="18" customFormat="false" ht="15.75" hidden="false" customHeight="false" outlineLevel="0" collapsed="false">
      <c r="C18" s="8"/>
      <c r="D18" s="1"/>
      <c r="E18" s="1"/>
      <c r="F18" s="1"/>
    </row>
    <row r="19" customFormat="false" ht="15.75" hidden="false" customHeight="false" outlineLevel="0" collapsed="false">
      <c r="C19" s="8"/>
      <c r="D19" s="1"/>
      <c r="E19" s="1"/>
      <c r="F19" s="1"/>
    </row>
    <row r="20" customFormat="false" ht="15.75" hidden="false" customHeight="false" outlineLevel="0" collapsed="false">
      <c r="C20" s="8"/>
      <c r="D20" s="1"/>
      <c r="E20" s="1" t="s">
        <v>64</v>
      </c>
      <c r="F20" s="1" t="n">
        <v>0</v>
      </c>
    </row>
    <row r="21" customFormat="false" ht="15.75" hidden="false" customHeight="false" outlineLevel="0" collapsed="false">
      <c r="A21" s="1" t="s">
        <v>18</v>
      </c>
      <c r="B21" s="4" t="n">
        <f aca="false">SUM(B5:B20)</f>
        <v>23901</v>
      </c>
      <c r="D21" s="1"/>
      <c r="E21" s="22" t="s">
        <v>130</v>
      </c>
      <c r="F21" s="23" t="n">
        <f aca="false">B2+F13-B21</f>
        <v>54190.15</v>
      </c>
    </row>
  </sheetData>
  <mergeCells count="1">
    <mergeCell ref="H2:I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1.88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209</v>
      </c>
      <c r="B2" s="16" t="n">
        <f aca="false">'Apr 2026'!F18</f>
        <v>51881.15</v>
      </c>
      <c r="C2" s="1"/>
      <c r="H2" s="18"/>
      <c r="I2" s="18"/>
    </row>
    <row r="3" customFormat="false" ht="15.75" hidden="false" customHeight="false" outlineLevel="0" collapsed="false">
      <c r="A3" s="1"/>
      <c r="C3" s="1" t="s">
        <v>47</v>
      </c>
      <c r="H3" s="19"/>
      <c r="I3" s="19"/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20" t="n">
        <v>3500</v>
      </c>
      <c r="G4" s="1" t="s">
        <v>210</v>
      </c>
    </row>
    <row r="5" customFormat="false" ht="15.75" hidden="false" customHeight="false" outlineLevel="0" collapsed="false">
      <c r="A5" s="1" t="s">
        <v>70</v>
      </c>
      <c r="B5" s="1" t="n">
        <v>1000</v>
      </c>
      <c r="C5" s="8" t="n">
        <v>46143</v>
      </c>
      <c r="D5" s="1"/>
      <c r="E5" s="1" t="s">
        <v>4</v>
      </c>
      <c r="F5" s="20" t="n">
        <v>3500</v>
      </c>
      <c r="G5" s="1" t="s">
        <v>210</v>
      </c>
    </row>
    <row r="6" customFormat="false" ht="15.75" hidden="false" customHeight="false" outlineLevel="0" collapsed="false">
      <c r="A6" s="1" t="s">
        <v>196</v>
      </c>
      <c r="B6" s="1" t="n">
        <v>4500</v>
      </c>
      <c r="C6" s="8" t="n">
        <v>46143</v>
      </c>
      <c r="D6" s="1"/>
      <c r="E6" s="1" t="s">
        <v>6</v>
      </c>
      <c r="F6" s="20" t="n">
        <v>3500</v>
      </c>
      <c r="G6" s="1" t="s">
        <v>210</v>
      </c>
    </row>
    <row r="7" customFormat="false" ht="15.75" hidden="false" customHeight="false" outlineLevel="0" collapsed="false">
      <c r="A7" s="1" t="s">
        <v>72</v>
      </c>
      <c r="B7" s="1" t="n">
        <v>500</v>
      </c>
      <c r="C7" s="8" t="n">
        <v>46148</v>
      </c>
      <c r="D7" s="1"/>
      <c r="E7" s="1" t="s">
        <v>8</v>
      </c>
      <c r="F7" s="20" t="n">
        <v>3500</v>
      </c>
      <c r="G7" s="1" t="s">
        <v>210</v>
      </c>
    </row>
    <row r="8" customFormat="false" ht="15.75" hidden="false" customHeight="false" outlineLevel="0" collapsed="false">
      <c r="A8" s="1" t="s">
        <v>211</v>
      </c>
      <c r="B8" s="1" t="n">
        <v>4692</v>
      </c>
      <c r="C8" s="8" t="n">
        <v>46151</v>
      </c>
      <c r="D8" s="1"/>
      <c r="E8" s="1" t="s">
        <v>10</v>
      </c>
      <c r="F8" s="20" t="n">
        <v>7000</v>
      </c>
      <c r="G8" s="1" t="s">
        <v>212</v>
      </c>
    </row>
    <row r="9" customFormat="false" ht="15.75" hidden="false" customHeight="false" outlineLevel="0" collapsed="false">
      <c r="A9" s="1" t="s">
        <v>213</v>
      </c>
      <c r="B9" s="21" t="n">
        <v>3674</v>
      </c>
      <c r="C9" s="8" t="n">
        <v>46151</v>
      </c>
      <c r="D9" s="1"/>
      <c r="E9" s="1" t="s">
        <v>12</v>
      </c>
      <c r="F9" s="20" t="n">
        <v>3500</v>
      </c>
      <c r="G9" s="1" t="s">
        <v>210</v>
      </c>
    </row>
    <row r="10" customFormat="false" ht="15.75" hidden="false" customHeight="false" outlineLevel="0" collapsed="false">
      <c r="A10" s="1" t="s">
        <v>24</v>
      </c>
      <c r="B10" s="1" t="n">
        <v>2000</v>
      </c>
      <c r="C10" s="8" t="n">
        <v>46144</v>
      </c>
      <c r="D10" s="1"/>
      <c r="E10" s="1" t="s">
        <v>14</v>
      </c>
      <c r="F10" s="20" t="n">
        <v>3500</v>
      </c>
      <c r="G10" s="1" t="s">
        <v>210</v>
      </c>
    </row>
    <row r="11" customFormat="false" ht="15.75" hidden="false" customHeight="false" outlineLevel="0" collapsed="false">
      <c r="A11" s="1" t="s">
        <v>214</v>
      </c>
      <c r="B11" s="21" t="n">
        <v>2125</v>
      </c>
      <c r="C11" s="8" t="n">
        <v>46148</v>
      </c>
      <c r="D11" s="1"/>
      <c r="E11" s="1" t="s">
        <v>16</v>
      </c>
      <c r="F11" s="20" t="n">
        <v>3500</v>
      </c>
      <c r="G11" s="1" t="s">
        <v>210</v>
      </c>
    </row>
    <row r="12" customFormat="false" ht="15.75" hidden="false" customHeight="false" outlineLevel="0" collapsed="false">
      <c r="A12" s="1" t="s">
        <v>205</v>
      </c>
      <c r="B12" s="1" t="n">
        <v>600</v>
      </c>
      <c r="C12" s="8" t="n">
        <v>46148</v>
      </c>
      <c r="D12" s="1"/>
      <c r="E12" s="1" t="s">
        <v>138</v>
      </c>
    </row>
    <row r="13" customFormat="false" ht="15.75" hidden="false" customHeight="false" outlineLevel="0" collapsed="false">
      <c r="A13" s="1" t="s">
        <v>215</v>
      </c>
      <c r="B13" s="1" t="n">
        <v>500</v>
      </c>
      <c r="C13" s="8" t="n">
        <v>46149</v>
      </c>
      <c r="D13" s="1"/>
      <c r="E13" s="1" t="s">
        <v>18</v>
      </c>
      <c r="F13" s="4" t="n">
        <f aca="false">SUM(F4:F12)</f>
        <v>31500</v>
      </c>
    </row>
    <row r="14" customFormat="false" ht="15.75" hidden="false" customHeight="false" outlineLevel="0" collapsed="false">
      <c r="A14" s="1" t="s">
        <v>181</v>
      </c>
      <c r="B14" s="1" t="n">
        <v>1400</v>
      </c>
      <c r="C14" s="8" t="n">
        <v>46152</v>
      </c>
      <c r="D14" s="1"/>
      <c r="E14" s="1"/>
    </row>
    <row r="15" customFormat="false" ht="15.75" hidden="false" customHeight="false" outlineLevel="0" collapsed="false">
      <c r="A15" s="1" t="s">
        <v>205</v>
      </c>
      <c r="B15" s="1" t="n">
        <v>500</v>
      </c>
      <c r="C15" s="8" t="n">
        <v>46152</v>
      </c>
      <c r="D15" s="1"/>
      <c r="E15" s="1"/>
      <c r="F15" s="1"/>
    </row>
    <row r="16" customFormat="false" ht="15.75" hidden="false" customHeight="false" outlineLevel="0" collapsed="false">
      <c r="A16" s="1" t="s">
        <v>196</v>
      </c>
      <c r="B16" s="1" t="n">
        <v>1000</v>
      </c>
      <c r="C16" s="8" t="n">
        <v>46164</v>
      </c>
      <c r="D16" s="1"/>
      <c r="E16" s="1"/>
      <c r="F16" s="1"/>
    </row>
    <row r="17" customFormat="false" ht="15.75" hidden="false" customHeight="false" outlineLevel="0" collapsed="false">
      <c r="A17" s="1" t="s">
        <v>24</v>
      </c>
      <c r="B17" s="1" t="n">
        <v>2000</v>
      </c>
      <c r="C17" s="8" t="n">
        <v>46164</v>
      </c>
      <c r="D17" s="1"/>
      <c r="E17" s="1" t="s">
        <v>64</v>
      </c>
      <c r="F17" s="1" t="n">
        <v>0</v>
      </c>
    </row>
    <row r="18" customFormat="false" ht="15.75" hidden="false" customHeight="false" outlineLevel="0" collapsed="false">
      <c r="A18" s="1" t="s">
        <v>216</v>
      </c>
      <c r="B18" s="1" t="n">
        <v>4000</v>
      </c>
      <c r="C18" s="8" t="n">
        <v>46166</v>
      </c>
      <c r="D18" s="1"/>
      <c r="E18" s="1"/>
      <c r="F18" s="1"/>
    </row>
    <row r="19" customFormat="false" ht="15.75" hidden="false" customHeight="false" outlineLevel="0" collapsed="false">
      <c r="A19" s="1" t="s">
        <v>196</v>
      </c>
      <c r="B19" s="1" t="n">
        <v>1000</v>
      </c>
      <c r="C19" s="8" t="n">
        <v>46170</v>
      </c>
      <c r="D19" s="1"/>
      <c r="E19" s="1"/>
      <c r="F19" s="1"/>
    </row>
    <row r="20" customFormat="false" ht="15.75" hidden="false" customHeight="false" outlineLevel="0" collapsed="false">
      <c r="A20" s="1" t="s">
        <v>217</v>
      </c>
      <c r="B20" s="1" t="n">
        <v>299</v>
      </c>
      <c r="C20" s="8" t="n">
        <v>46171</v>
      </c>
      <c r="D20" s="1"/>
      <c r="E20" s="1"/>
      <c r="F20" s="1"/>
    </row>
    <row r="21" customFormat="false" ht="15.75" hidden="false" customHeight="false" outlineLevel="0" collapsed="false">
      <c r="A21" s="1" t="s">
        <v>18</v>
      </c>
      <c r="B21" s="4" t="n">
        <f aca="false">SUM(B5:B20)</f>
        <v>29790</v>
      </c>
      <c r="D21" s="1"/>
      <c r="E21" s="22" t="s">
        <v>130</v>
      </c>
      <c r="F21" s="23" t="n">
        <f aca="false">B2+F13-B21</f>
        <v>53591.15</v>
      </c>
    </row>
  </sheetData>
  <mergeCells count="1">
    <mergeCell ref="H2:I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1.88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209</v>
      </c>
      <c r="B2" s="16" t="n">
        <f aca="false">'Mar 2026'!F18</f>
        <v>62860.15</v>
      </c>
      <c r="C2" s="1"/>
      <c r="H2" s="18"/>
      <c r="I2" s="18"/>
    </row>
    <row r="3" customFormat="false" ht="15.75" hidden="false" customHeight="false" outlineLevel="0" collapsed="false">
      <c r="A3" s="1"/>
      <c r="C3" s="1" t="s">
        <v>47</v>
      </c>
      <c r="H3" s="19"/>
      <c r="I3" s="19"/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20" t="n">
        <v>3500</v>
      </c>
      <c r="G4" s="1" t="s">
        <v>210</v>
      </c>
    </row>
    <row r="5" customFormat="false" ht="15.75" hidden="false" customHeight="false" outlineLevel="0" collapsed="false">
      <c r="A5" s="1" t="s">
        <v>70</v>
      </c>
      <c r="B5" s="1" t="n">
        <v>10000</v>
      </c>
      <c r="C5" s="8" t="n">
        <v>46113</v>
      </c>
      <c r="D5" s="1"/>
      <c r="E5" s="1" t="s">
        <v>4</v>
      </c>
      <c r="F5" s="20" t="n">
        <v>3500</v>
      </c>
      <c r="G5" s="1" t="s">
        <v>210</v>
      </c>
    </row>
    <row r="6" customFormat="false" ht="15.75" hidden="false" customHeight="false" outlineLevel="0" collapsed="false">
      <c r="A6" s="1" t="s">
        <v>196</v>
      </c>
      <c r="B6" s="1" t="n">
        <v>2000</v>
      </c>
      <c r="C6" s="8" t="n">
        <v>46113</v>
      </c>
      <c r="D6" s="1"/>
      <c r="E6" s="1" t="s">
        <v>6</v>
      </c>
      <c r="F6" s="20" t="n">
        <v>3500</v>
      </c>
      <c r="G6" s="1" t="s">
        <v>210</v>
      </c>
    </row>
    <row r="7" customFormat="false" ht="15.75" hidden="false" customHeight="false" outlineLevel="0" collapsed="false">
      <c r="A7" s="1" t="s">
        <v>72</v>
      </c>
      <c r="B7" s="1" t="n">
        <v>500</v>
      </c>
      <c r="C7" s="8" t="n">
        <v>46115</v>
      </c>
      <c r="D7" s="1"/>
      <c r="E7" s="1" t="s">
        <v>8</v>
      </c>
      <c r="F7" s="20" t="n">
        <v>3500</v>
      </c>
      <c r="G7" s="1" t="s">
        <v>210</v>
      </c>
    </row>
    <row r="8" customFormat="false" ht="15.75" hidden="false" customHeight="false" outlineLevel="0" collapsed="false">
      <c r="A8" s="1" t="s">
        <v>211</v>
      </c>
      <c r="B8" s="1" t="n">
        <v>4533</v>
      </c>
      <c r="C8" s="8" t="n">
        <v>46119</v>
      </c>
      <c r="D8" s="1"/>
      <c r="E8" s="1" t="s">
        <v>10</v>
      </c>
      <c r="F8" s="20"/>
      <c r="G8" s="1"/>
    </row>
    <row r="9" customFormat="false" ht="15.75" hidden="false" customHeight="false" outlineLevel="0" collapsed="false">
      <c r="A9" s="1" t="s">
        <v>213</v>
      </c>
      <c r="B9" s="21" t="n">
        <v>3730</v>
      </c>
      <c r="C9" s="8" t="n">
        <v>46119</v>
      </c>
      <c r="D9" s="1"/>
      <c r="E9" s="1" t="s">
        <v>12</v>
      </c>
      <c r="F9" s="20" t="n">
        <v>3500</v>
      </c>
      <c r="G9" s="1" t="s">
        <v>210</v>
      </c>
    </row>
    <row r="10" customFormat="false" ht="15.75" hidden="false" customHeight="false" outlineLevel="0" collapsed="false">
      <c r="A10" s="1" t="s">
        <v>196</v>
      </c>
      <c r="B10" s="1" t="n">
        <v>5000</v>
      </c>
      <c r="C10" s="8" t="n">
        <v>46121</v>
      </c>
      <c r="D10" s="1"/>
      <c r="E10" s="1" t="s">
        <v>14</v>
      </c>
      <c r="F10" s="20" t="n">
        <v>3500</v>
      </c>
      <c r="G10" s="1" t="s">
        <v>210</v>
      </c>
    </row>
    <row r="11" customFormat="false" ht="15.75" hidden="false" customHeight="false" outlineLevel="0" collapsed="false">
      <c r="A11" s="1" t="s">
        <v>218</v>
      </c>
      <c r="B11" s="21" t="n">
        <v>4500</v>
      </c>
      <c r="C11" s="8" t="n">
        <v>46131</v>
      </c>
      <c r="D11" s="1"/>
      <c r="E11" s="1" t="s">
        <v>16</v>
      </c>
      <c r="F11" s="20" t="n">
        <v>3500</v>
      </c>
      <c r="G11" s="1" t="s">
        <v>210</v>
      </c>
    </row>
    <row r="12" customFormat="false" ht="15.75" hidden="false" customHeight="false" outlineLevel="0" collapsed="false">
      <c r="A12" s="1" t="s">
        <v>219</v>
      </c>
      <c r="B12" s="21" t="n">
        <v>2000</v>
      </c>
      <c r="C12" s="8" t="n">
        <v>46133</v>
      </c>
      <c r="D12" s="1"/>
      <c r="E12" s="1" t="s">
        <v>138</v>
      </c>
      <c r="F12" s="1" t="n">
        <v>434</v>
      </c>
    </row>
    <row r="13" customFormat="false" ht="15.75" hidden="false" customHeight="false" outlineLevel="0" collapsed="false">
      <c r="A13" s="1" t="s">
        <v>196</v>
      </c>
      <c r="B13" s="1" t="n">
        <v>1500</v>
      </c>
      <c r="C13" s="8" t="n">
        <v>46133</v>
      </c>
      <c r="D13" s="1"/>
      <c r="E13" s="1" t="s">
        <v>18</v>
      </c>
      <c r="F13" s="4" t="n">
        <f aca="false">SUM(F4:F12)</f>
        <v>24934</v>
      </c>
    </row>
    <row r="14" customFormat="false" ht="15.75" hidden="false" customHeight="false" outlineLevel="0" collapsed="false">
      <c r="A14" s="1" t="s">
        <v>220</v>
      </c>
      <c r="B14" s="1" t="n">
        <v>150</v>
      </c>
      <c r="C14" s="8" t="n">
        <v>46136</v>
      </c>
      <c r="D14" s="1"/>
      <c r="E14" s="1"/>
    </row>
    <row r="15" customFormat="false" ht="15.75" hidden="false" customHeight="false" outlineLevel="0" collapsed="false">
      <c r="A15" s="1" t="s">
        <v>24</v>
      </c>
      <c r="B15" s="1" t="n">
        <v>2000</v>
      </c>
      <c r="C15" s="8" t="n">
        <v>46141</v>
      </c>
      <c r="D15" s="1"/>
      <c r="E15" s="1"/>
      <c r="F15" s="1"/>
    </row>
    <row r="16" customFormat="false" ht="15.75" hidden="false" customHeight="false" outlineLevel="0" collapsed="false">
      <c r="C16" s="8"/>
      <c r="D16" s="1"/>
      <c r="E16" s="1"/>
      <c r="F16" s="1"/>
    </row>
    <row r="17" customFormat="false" ht="15.75" hidden="false" customHeight="false" outlineLevel="0" collapsed="false">
      <c r="C17" s="8"/>
      <c r="D17" s="1"/>
      <c r="E17" s="1" t="s">
        <v>64</v>
      </c>
      <c r="F17" s="1" t="n">
        <v>0</v>
      </c>
    </row>
    <row r="18" customFormat="false" ht="15.75" hidden="false" customHeight="false" outlineLevel="0" collapsed="false">
      <c r="A18" s="1" t="s">
        <v>18</v>
      </c>
      <c r="B18" s="4" t="n">
        <f aca="false">SUM(B5:B17)</f>
        <v>35913</v>
      </c>
      <c r="D18" s="1"/>
      <c r="E18" s="22" t="s">
        <v>130</v>
      </c>
      <c r="F18" s="23" t="n">
        <f aca="false">B2+F13-B18</f>
        <v>51881.15</v>
      </c>
    </row>
  </sheetData>
  <mergeCells count="1">
    <mergeCell ref="H2:I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1.88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209</v>
      </c>
      <c r="B2" s="16" t="n">
        <f aca="false">'Feb 2026'!F20</f>
        <v>61468.15</v>
      </c>
      <c r="C2" s="1"/>
      <c r="H2" s="18"/>
      <c r="I2" s="18"/>
    </row>
    <row r="3" customFormat="false" ht="15.75" hidden="false" customHeight="false" outlineLevel="0" collapsed="false">
      <c r="A3" s="1"/>
      <c r="C3" s="1" t="s">
        <v>47</v>
      </c>
      <c r="H3" s="19"/>
      <c r="I3" s="19"/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20" t="n">
        <v>3500</v>
      </c>
      <c r="G4" s="1" t="s">
        <v>221</v>
      </c>
    </row>
    <row r="5" customFormat="false" ht="15.75" hidden="false" customHeight="false" outlineLevel="0" collapsed="false">
      <c r="A5" s="1" t="s">
        <v>70</v>
      </c>
      <c r="B5" s="1" t="n">
        <v>10000</v>
      </c>
      <c r="C5" s="8" t="n">
        <v>46082</v>
      </c>
      <c r="D5" s="1"/>
      <c r="E5" s="1" t="s">
        <v>4</v>
      </c>
      <c r="F5" s="20" t="n">
        <v>3500</v>
      </c>
      <c r="G5" s="1" t="s">
        <v>221</v>
      </c>
    </row>
    <row r="6" customFormat="false" ht="15.75" hidden="false" customHeight="false" outlineLevel="0" collapsed="false">
      <c r="A6" s="1" t="s">
        <v>72</v>
      </c>
      <c r="B6" s="1" t="n">
        <v>500</v>
      </c>
      <c r="C6" s="8" t="n">
        <v>46087</v>
      </c>
      <c r="D6" s="1"/>
      <c r="E6" s="1" t="s">
        <v>6</v>
      </c>
      <c r="F6" s="20" t="n">
        <v>3500</v>
      </c>
      <c r="G6" s="1" t="s">
        <v>221</v>
      </c>
    </row>
    <row r="7" customFormat="false" ht="15.75" hidden="false" customHeight="false" outlineLevel="0" collapsed="false">
      <c r="A7" s="1" t="s">
        <v>211</v>
      </c>
      <c r="B7" s="1" t="n">
        <v>4028</v>
      </c>
      <c r="C7" s="8" t="n">
        <v>46087</v>
      </c>
      <c r="D7" s="1"/>
      <c r="E7" s="1" t="s">
        <v>8</v>
      </c>
      <c r="F7" s="20" t="n">
        <v>3500</v>
      </c>
      <c r="G7" s="1" t="s">
        <v>221</v>
      </c>
    </row>
    <row r="8" customFormat="false" ht="15.75" hidden="false" customHeight="false" outlineLevel="0" collapsed="false">
      <c r="A8" s="1" t="s">
        <v>213</v>
      </c>
      <c r="B8" s="21" t="n">
        <v>3880</v>
      </c>
      <c r="C8" s="8" t="n">
        <v>46087</v>
      </c>
      <c r="D8" s="1"/>
      <c r="E8" s="1" t="s">
        <v>10</v>
      </c>
      <c r="F8" s="20" t="n">
        <v>7000</v>
      </c>
      <c r="G8" s="1" t="s">
        <v>210</v>
      </c>
    </row>
    <row r="9" customFormat="false" ht="15.75" hidden="false" customHeight="false" outlineLevel="0" collapsed="false">
      <c r="A9" s="1" t="s">
        <v>196</v>
      </c>
      <c r="B9" s="1" t="n">
        <v>1000</v>
      </c>
      <c r="C9" s="8" t="n">
        <v>46094</v>
      </c>
      <c r="D9" s="1"/>
      <c r="E9" s="1" t="s">
        <v>12</v>
      </c>
      <c r="F9" s="20" t="n">
        <v>3500</v>
      </c>
      <c r="G9" s="1" t="s">
        <v>221</v>
      </c>
    </row>
    <row r="10" customFormat="false" ht="15.75" hidden="false" customHeight="false" outlineLevel="0" collapsed="false">
      <c r="A10" s="1" t="s">
        <v>222</v>
      </c>
      <c r="B10" s="1" t="n">
        <v>6700</v>
      </c>
      <c r="C10" s="8" t="n">
        <v>46096</v>
      </c>
      <c r="D10" s="1"/>
      <c r="E10" s="1" t="s">
        <v>14</v>
      </c>
      <c r="F10" s="20" t="n">
        <v>3500</v>
      </c>
      <c r="G10" s="1" t="s">
        <v>221</v>
      </c>
    </row>
    <row r="11" customFormat="false" ht="15.75" hidden="false" customHeight="false" outlineLevel="0" collapsed="false">
      <c r="A11" s="1" t="s">
        <v>24</v>
      </c>
      <c r="B11" s="21" t="n">
        <v>2000</v>
      </c>
      <c r="C11" s="8" t="n">
        <v>46101</v>
      </c>
      <c r="D11" s="1"/>
      <c r="E11" s="1" t="s">
        <v>16</v>
      </c>
      <c r="F11" s="20" t="n">
        <v>3500</v>
      </c>
      <c r="G11" s="1" t="s">
        <v>221</v>
      </c>
    </row>
    <row r="12" customFormat="false" ht="15.75" hidden="false" customHeight="false" outlineLevel="0" collapsed="false">
      <c r="A12" s="1" t="s">
        <v>223</v>
      </c>
      <c r="B12" s="1" t="n">
        <v>1000</v>
      </c>
      <c r="C12" s="8" t="n">
        <v>46101</v>
      </c>
      <c r="D12" s="1"/>
      <c r="E12" s="1" t="s">
        <v>138</v>
      </c>
    </row>
    <row r="13" customFormat="false" ht="15.75" hidden="false" customHeight="false" outlineLevel="0" collapsed="false">
      <c r="A13" s="1" t="s">
        <v>196</v>
      </c>
      <c r="B13" s="1" t="n">
        <v>1000</v>
      </c>
      <c r="C13" s="8" t="n">
        <v>46110</v>
      </c>
      <c r="D13" s="1"/>
      <c r="E13" s="1" t="s">
        <v>18</v>
      </c>
      <c r="F13" s="4" t="n">
        <f aca="false">SUM(F4:F12)</f>
        <v>31500</v>
      </c>
    </row>
    <row r="14" customFormat="false" ht="15.75" hidden="false" customHeight="false" outlineLevel="0" collapsed="false">
      <c r="C14" s="8"/>
      <c r="D14" s="1"/>
      <c r="E14" s="1"/>
    </row>
    <row r="15" customFormat="false" ht="15.75" hidden="false" customHeight="false" outlineLevel="0" collapsed="false">
      <c r="C15" s="8"/>
      <c r="D15" s="1"/>
      <c r="E15" s="1"/>
      <c r="F15" s="1"/>
    </row>
    <row r="16" customFormat="false" ht="15.75" hidden="false" customHeight="false" outlineLevel="0" collapsed="false">
      <c r="C16" s="8"/>
      <c r="D16" s="1"/>
      <c r="E16" s="1"/>
      <c r="F16" s="1"/>
    </row>
    <row r="17" customFormat="false" ht="15.75" hidden="false" customHeight="false" outlineLevel="0" collapsed="false">
      <c r="C17" s="8"/>
      <c r="D17" s="1"/>
      <c r="E17" s="1" t="s">
        <v>64</v>
      </c>
      <c r="F17" s="1" t="n">
        <v>0</v>
      </c>
    </row>
    <row r="18" customFormat="false" ht="15.75" hidden="false" customHeight="false" outlineLevel="0" collapsed="false">
      <c r="A18" s="1" t="s">
        <v>18</v>
      </c>
      <c r="B18" s="4" t="n">
        <f aca="false">SUM(B5:B17)</f>
        <v>30108</v>
      </c>
      <c r="D18" s="1"/>
      <c r="E18" s="22" t="s">
        <v>130</v>
      </c>
      <c r="F18" s="23" t="n">
        <f aca="false">B2+F13-B18</f>
        <v>62860.15</v>
      </c>
    </row>
  </sheetData>
  <mergeCells count="1">
    <mergeCell ref="H2:I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DJ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1.88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209</v>
      </c>
      <c r="B2" s="16" t="n">
        <f aca="false">'Jan 2026'!F18</f>
        <v>71910.15</v>
      </c>
      <c r="C2" s="1"/>
      <c r="H2" s="18" t="s">
        <v>180</v>
      </c>
      <c r="I2" s="18"/>
    </row>
    <row r="3" customFormat="false" ht="15.75" hidden="false" customHeight="false" outlineLevel="0" collapsed="false">
      <c r="A3" s="1"/>
      <c r="C3" s="1" t="s">
        <v>47</v>
      </c>
      <c r="H3" s="19" t="s">
        <v>224</v>
      </c>
      <c r="I3" s="19" t="s">
        <v>225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20" t="n">
        <v>3500</v>
      </c>
      <c r="G4" s="1" t="s">
        <v>221</v>
      </c>
      <c r="H4" s="1" t="n">
        <v>5000</v>
      </c>
    </row>
    <row r="5" customFormat="false" ht="15.75" hidden="false" customHeight="false" outlineLevel="0" collapsed="false">
      <c r="A5" s="1" t="s">
        <v>70</v>
      </c>
      <c r="B5" s="1" t="n">
        <v>13000</v>
      </c>
      <c r="C5" s="8" t="n">
        <v>46054</v>
      </c>
      <c r="D5" s="1"/>
      <c r="E5" s="1" t="s">
        <v>4</v>
      </c>
      <c r="F5" s="20" t="n">
        <v>3500</v>
      </c>
      <c r="G5" s="1" t="s">
        <v>221</v>
      </c>
      <c r="I5" s="1" t="n">
        <v>5000</v>
      </c>
    </row>
    <row r="6" customFormat="false" ht="15.75" hidden="false" customHeight="false" outlineLevel="0" collapsed="false">
      <c r="A6" s="1" t="s">
        <v>24</v>
      </c>
      <c r="B6" s="1" t="n">
        <v>1500</v>
      </c>
      <c r="C6" s="8" t="n">
        <v>46059</v>
      </c>
      <c r="D6" s="1"/>
      <c r="E6" s="1" t="s">
        <v>6</v>
      </c>
      <c r="F6" s="20" t="n">
        <v>3500</v>
      </c>
      <c r="G6" s="1" t="s">
        <v>221</v>
      </c>
      <c r="H6" s="1" t="n">
        <v>5000</v>
      </c>
    </row>
    <row r="7" customFormat="false" ht="15.75" hidden="false" customHeight="false" outlineLevel="0" collapsed="false">
      <c r="A7" s="1" t="s">
        <v>226</v>
      </c>
      <c r="B7" s="1" t="n">
        <v>180</v>
      </c>
      <c r="C7" s="8" t="n">
        <v>46060</v>
      </c>
      <c r="D7" s="1"/>
      <c r="E7" s="1" t="s">
        <v>8</v>
      </c>
      <c r="F7" s="20"/>
      <c r="G7" s="1" t="s">
        <v>221</v>
      </c>
      <c r="I7" s="24" t="n">
        <v>8500</v>
      </c>
      <c r="J7" s="1" t="s">
        <v>227</v>
      </c>
    </row>
    <row r="8" customFormat="false" ht="15.75" hidden="false" customHeight="false" outlineLevel="0" collapsed="false">
      <c r="A8" s="1" t="s">
        <v>228</v>
      </c>
      <c r="B8" s="21" t="n">
        <v>500</v>
      </c>
      <c r="C8" s="8" t="n">
        <v>46060</v>
      </c>
      <c r="D8" s="1"/>
      <c r="E8" s="1" t="s">
        <v>10</v>
      </c>
      <c r="F8" s="20"/>
      <c r="G8" s="1" t="s">
        <v>210</v>
      </c>
      <c r="H8" s="1" t="n">
        <v>5000</v>
      </c>
    </row>
    <row r="9" customFormat="false" ht="15.75" hidden="false" customHeight="false" outlineLevel="0" collapsed="false">
      <c r="A9" s="1" t="s">
        <v>229</v>
      </c>
      <c r="B9" s="1" t="n">
        <v>50</v>
      </c>
      <c r="C9" s="8" t="n">
        <v>46060</v>
      </c>
      <c r="D9" s="1"/>
      <c r="E9" s="1" t="s">
        <v>12</v>
      </c>
      <c r="F9" s="20" t="n">
        <v>3500</v>
      </c>
      <c r="G9" s="1" t="s">
        <v>221</v>
      </c>
      <c r="I9" s="1" t="n">
        <v>5000</v>
      </c>
    </row>
    <row r="10" customFormat="false" ht="15.75" hidden="false" customHeight="false" outlineLevel="0" collapsed="false">
      <c r="A10" s="1" t="s">
        <v>230</v>
      </c>
      <c r="B10" s="1" t="n">
        <v>426</v>
      </c>
      <c r="C10" s="8" t="n">
        <v>46061</v>
      </c>
      <c r="D10" s="1"/>
      <c r="E10" s="1" t="s">
        <v>14</v>
      </c>
      <c r="F10" s="20" t="n">
        <v>3500</v>
      </c>
      <c r="G10" s="1" t="s">
        <v>221</v>
      </c>
      <c r="I10" s="1" t="n">
        <v>5000</v>
      </c>
    </row>
    <row r="11" customFormat="false" ht="15.75" hidden="false" customHeight="false" outlineLevel="0" collapsed="false">
      <c r="A11" s="1" t="s">
        <v>231</v>
      </c>
      <c r="B11" s="21" t="n">
        <v>287</v>
      </c>
      <c r="C11" s="8" t="n">
        <v>46062</v>
      </c>
      <c r="D11" s="1"/>
      <c r="E11" s="1" t="s">
        <v>16</v>
      </c>
      <c r="F11" s="20" t="n">
        <v>3500</v>
      </c>
      <c r="G11" s="1" t="s">
        <v>221</v>
      </c>
      <c r="I11" s="1" t="n">
        <v>5000</v>
      </c>
    </row>
    <row r="12" customFormat="false" ht="15.75" hidden="false" customHeight="false" outlineLevel="0" collapsed="false">
      <c r="A12" s="1" t="s">
        <v>214</v>
      </c>
      <c r="B12" s="1" t="n">
        <v>1375</v>
      </c>
      <c r="C12" s="8" t="n">
        <v>46062</v>
      </c>
      <c r="D12" s="1"/>
      <c r="E12" s="1" t="s">
        <v>138</v>
      </c>
    </row>
    <row r="13" customFormat="false" ht="15.75" hidden="false" customHeight="false" outlineLevel="0" collapsed="false">
      <c r="A13" s="1" t="s">
        <v>211</v>
      </c>
      <c r="B13" s="1" t="n">
        <v>4219</v>
      </c>
      <c r="C13" s="8" t="n">
        <v>46064</v>
      </c>
      <c r="D13" s="1"/>
      <c r="E13" s="1" t="s">
        <v>18</v>
      </c>
      <c r="F13" s="4" t="n">
        <f aca="false">SUM(F4:F12)</f>
        <v>21000</v>
      </c>
      <c r="H13" s="4" t="n">
        <f aca="false">SUM(H4:H11)</f>
        <v>15000</v>
      </c>
    </row>
    <row r="14" customFormat="false" ht="15.75" hidden="false" customHeight="false" outlineLevel="0" collapsed="false">
      <c r="A14" s="1" t="s">
        <v>213</v>
      </c>
      <c r="B14" s="1" t="n">
        <v>3905</v>
      </c>
      <c r="C14" s="8" t="n">
        <v>46064</v>
      </c>
      <c r="D14" s="1"/>
      <c r="E14" s="1"/>
    </row>
    <row r="15" customFormat="false" ht="15.75" hidden="false" customHeight="false" outlineLevel="0" collapsed="false">
      <c r="A15" s="1" t="s">
        <v>196</v>
      </c>
      <c r="B15" s="1" t="n">
        <v>2000</v>
      </c>
      <c r="C15" s="8" t="n">
        <v>46066</v>
      </c>
      <c r="D15" s="1"/>
      <c r="E15" s="1"/>
      <c r="F15" s="1"/>
    </row>
    <row r="16" customFormat="false" ht="15.75" hidden="false" customHeight="false" outlineLevel="0" collapsed="false">
      <c r="A16" s="1" t="s">
        <v>24</v>
      </c>
      <c r="B16" s="1" t="n">
        <v>2000</v>
      </c>
      <c r="C16" s="8" t="n">
        <v>46070</v>
      </c>
      <c r="D16" s="1"/>
      <c r="E16" s="1"/>
      <c r="F16" s="1"/>
    </row>
    <row r="17" customFormat="false" ht="15.75" hidden="false" customHeight="false" outlineLevel="0" collapsed="false">
      <c r="A17" s="1" t="s">
        <v>196</v>
      </c>
      <c r="B17" s="1" t="n">
        <v>1000</v>
      </c>
      <c r="C17" s="8" t="n">
        <v>46074</v>
      </c>
      <c r="D17" s="1"/>
      <c r="E17" s="1"/>
      <c r="F17" s="1"/>
    </row>
    <row r="18" customFormat="false" ht="15.75" hidden="false" customHeight="false" outlineLevel="0" collapsed="false">
      <c r="A18" s="1" t="s">
        <v>196</v>
      </c>
      <c r="B18" s="1" t="n">
        <v>1000</v>
      </c>
      <c r="C18" s="8" t="n">
        <v>46074</v>
      </c>
      <c r="D18" s="1"/>
      <c r="E18" s="1"/>
      <c r="F18" s="1"/>
    </row>
    <row r="19" customFormat="false" ht="15.75" hidden="false" customHeight="false" outlineLevel="0" collapsed="false">
      <c r="C19" s="8"/>
      <c r="D19" s="1"/>
      <c r="E19" s="1" t="s">
        <v>64</v>
      </c>
      <c r="F19" s="1" t="n">
        <v>0</v>
      </c>
    </row>
    <row r="20" customFormat="false" ht="15.75" hidden="false" customHeight="false" outlineLevel="0" collapsed="false">
      <c r="A20" s="1" t="s">
        <v>18</v>
      </c>
      <c r="B20" s="4" t="n">
        <f aca="false">SUM(B5:B19)</f>
        <v>31442</v>
      </c>
      <c r="D20" s="1"/>
      <c r="E20" s="22" t="s">
        <v>130</v>
      </c>
      <c r="F20" s="23" t="n">
        <f aca="false">B2+F13-B20</f>
        <v>61468.15</v>
      </c>
    </row>
  </sheetData>
  <mergeCells count="1">
    <mergeCell ref="H2:I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1.88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209</v>
      </c>
      <c r="B2" s="16" t="n">
        <f aca="false">'Dec 2025'!F18</f>
        <v>63539.15</v>
      </c>
      <c r="C2" s="1"/>
      <c r="H2" s="18" t="s">
        <v>180</v>
      </c>
      <c r="I2" s="18"/>
    </row>
    <row r="3" customFormat="false" ht="15.75" hidden="false" customHeight="false" outlineLevel="0" collapsed="false">
      <c r="A3" s="1"/>
      <c r="C3" s="1" t="s">
        <v>47</v>
      </c>
      <c r="H3" s="19" t="s">
        <v>224</v>
      </c>
      <c r="I3" s="19" t="s">
        <v>225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20" t="n">
        <v>3500</v>
      </c>
      <c r="G4" s="1" t="s">
        <v>221</v>
      </c>
      <c r="H4" s="1" t="n">
        <v>5000</v>
      </c>
    </row>
    <row r="5" customFormat="false" ht="15.75" hidden="false" customHeight="false" outlineLevel="0" collapsed="false">
      <c r="A5" s="1" t="s">
        <v>70</v>
      </c>
      <c r="B5" s="1" t="n">
        <v>8000</v>
      </c>
      <c r="C5" s="8" t="n">
        <v>46023</v>
      </c>
      <c r="D5" s="1"/>
      <c r="E5" s="1" t="s">
        <v>4</v>
      </c>
      <c r="F5" s="20" t="n">
        <v>3500</v>
      </c>
      <c r="G5" s="1" t="s">
        <v>221</v>
      </c>
      <c r="I5" s="1" t="n">
        <v>5000</v>
      </c>
    </row>
    <row r="6" customFormat="false" ht="15.75" hidden="false" customHeight="false" outlineLevel="0" collapsed="false">
      <c r="A6" s="1" t="s">
        <v>180</v>
      </c>
      <c r="B6" s="1" t="n">
        <v>11000</v>
      </c>
      <c r="C6" s="8" t="n">
        <v>46023</v>
      </c>
      <c r="D6" s="1"/>
      <c r="E6" s="1" t="s">
        <v>6</v>
      </c>
      <c r="F6" s="20" t="n">
        <v>3500</v>
      </c>
      <c r="G6" s="1" t="s">
        <v>221</v>
      </c>
      <c r="H6" s="1" t="n">
        <v>5000</v>
      </c>
    </row>
    <row r="7" customFormat="false" ht="15.75" hidden="false" customHeight="false" outlineLevel="0" collapsed="false">
      <c r="A7" s="1" t="s">
        <v>232</v>
      </c>
      <c r="B7" s="1" t="n">
        <v>680</v>
      </c>
      <c r="C7" s="8" t="n">
        <v>46031</v>
      </c>
      <c r="D7" s="1"/>
      <c r="E7" s="1" t="s">
        <v>8</v>
      </c>
      <c r="F7" s="20" t="n">
        <v>3500</v>
      </c>
      <c r="G7" s="1" t="s">
        <v>221</v>
      </c>
      <c r="I7" s="24" t="n">
        <v>8500</v>
      </c>
      <c r="J7" s="1" t="s">
        <v>233</v>
      </c>
    </row>
    <row r="8" customFormat="false" ht="15.75" hidden="false" customHeight="false" outlineLevel="0" collapsed="false">
      <c r="A8" s="1" t="s">
        <v>72</v>
      </c>
      <c r="B8" s="21" t="n">
        <v>500</v>
      </c>
      <c r="C8" s="8" t="n">
        <v>46031</v>
      </c>
      <c r="D8" s="1"/>
      <c r="E8" s="1" t="s">
        <v>10</v>
      </c>
      <c r="F8" s="20" t="n">
        <v>7000</v>
      </c>
      <c r="G8" s="1" t="s">
        <v>221</v>
      </c>
      <c r="H8" s="1" t="n">
        <v>5000</v>
      </c>
    </row>
    <row r="9" customFormat="false" ht="15.75" hidden="false" customHeight="false" outlineLevel="0" collapsed="false">
      <c r="A9" s="1" t="s">
        <v>234</v>
      </c>
      <c r="B9" s="1" t="n">
        <v>4010</v>
      </c>
      <c r="C9" s="8" t="n">
        <v>46032</v>
      </c>
      <c r="D9" s="1"/>
      <c r="E9" s="1" t="s">
        <v>12</v>
      </c>
      <c r="F9" s="20" t="n">
        <v>3500</v>
      </c>
      <c r="G9" s="1" t="s">
        <v>221</v>
      </c>
      <c r="I9" s="1" t="n">
        <v>5000</v>
      </c>
    </row>
    <row r="10" customFormat="false" ht="15.75" hidden="false" customHeight="false" outlineLevel="0" collapsed="false">
      <c r="A10" s="1" t="s">
        <v>15</v>
      </c>
      <c r="B10" s="21" t="n">
        <v>3505</v>
      </c>
      <c r="C10" s="8" t="n">
        <v>46032</v>
      </c>
      <c r="D10" s="1"/>
      <c r="E10" s="1" t="s">
        <v>14</v>
      </c>
      <c r="F10" s="20" t="n">
        <v>3500</v>
      </c>
      <c r="G10" s="1" t="s">
        <v>221</v>
      </c>
      <c r="I10" s="1" t="n">
        <v>5000</v>
      </c>
    </row>
    <row r="11" customFormat="false" ht="15.75" hidden="false" customHeight="false" outlineLevel="0" collapsed="false">
      <c r="A11" s="1" t="s">
        <v>24</v>
      </c>
      <c r="B11" s="21" t="n">
        <v>2000</v>
      </c>
      <c r="C11" s="8" t="n">
        <v>46034</v>
      </c>
      <c r="D11" s="1"/>
      <c r="E11" s="1" t="s">
        <v>16</v>
      </c>
      <c r="F11" s="20" t="n">
        <v>3500</v>
      </c>
      <c r="G11" s="1" t="s">
        <v>221</v>
      </c>
      <c r="I11" s="1" t="n">
        <v>5000</v>
      </c>
    </row>
    <row r="12" customFormat="false" ht="15.75" hidden="false" customHeight="false" outlineLevel="0" collapsed="false">
      <c r="A12" s="1" t="s">
        <v>235</v>
      </c>
      <c r="B12" s="1" t="n">
        <v>934</v>
      </c>
      <c r="C12" s="8" t="n">
        <v>46034</v>
      </c>
      <c r="D12" s="1"/>
      <c r="E12" s="1" t="s">
        <v>138</v>
      </c>
    </row>
    <row r="13" customFormat="false" ht="15.75" hidden="false" customHeight="false" outlineLevel="0" collapsed="false">
      <c r="A13" s="1" t="s">
        <v>236</v>
      </c>
      <c r="B13" s="1" t="n">
        <v>5000</v>
      </c>
      <c r="C13" s="8" t="n">
        <v>46039</v>
      </c>
      <c r="D13" s="1"/>
      <c r="E13" s="1" t="s">
        <v>18</v>
      </c>
      <c r="F13" s="4" t="n">
        <f aca="false">SUM(F4:F12)</f>
        <v>31500</v>
      </c>
      <c r="H13" s="4" t="n">
        <f aca="false">SUM(H4:H11)</f>
        <v>15000</v>
      </c>
    </row>
    <row r="14" customFormat="false" ht="15.75" hidden="false" customHeight="false" outlineLevel="0" collapsed="false">
      <c r="A14" s="1" t="s">
        <v>196</v>
      </c>
      <c r="B14" s="1" t="n">
        <v>1000</v>
      </c>
      <c r="C14" s="8" t="n">
        <v>46044</v>
      </c>
      <c r="D14" s="1"/>
      <c r="E14" s="1"/>
    </row>
    <row r="15" customFormat="false" ht="15.75" hidden="false" customHeight="false" outlineLevel="0" collapsed="false">
      <c r="A15" s="1" t="s">
        <v>24</v>
      </c>
      <c r="B15" s="1" t="n">
        <v>1500</v>
      </c>
      <c r="C15" s="8" t="n">
        <v>46044</v>
      </c>
      <c r="D15" s="1"/>
      <c r="E15" s="1"/>
      <c r="F15" s="1"/>
    </row>
    <row r="16" customFormat="false" ht="15.75" hidden="false" customHeight="false" outlineLevel="0" collapsed="false">
      <c r="C16" s="8"/>
      <c r="D16" s="1"/>
      <c r="E16" s="1"/>
      <c r="F16" s="1"/>
    </row>
    <row r="17" customFormat="false" ht="15.75" hidden="false" customHeight="false" outlineLevel="0" collapsed="false">
      <c r="C17" s="8"/>
      <c r="D17" s="1"/>
      <c r="E17" s="1" t="s">
        <v>64</v>
      </c>
      <c r="F17" s="1" t="n">
        <v>0</v>
      </c>
    </row>
    <row r="18" customFormat="false" ht="15.75" hidden="false" customHeight="false" outlineLevel="0" collapsed="false">
      <c r="A18" s="1" t="s">
        <v>18</v>
      </c>
      <c r="B18" s="4" t="n">
        <f aca="false">SUM(B5:B17)</f>
        <v>38129</v>
      </c>
      <c r="D18" s="1"/>
      <c r="E18" s="22" t="s">
        <v>130</v>
      </c>
      <c r="F18" s="23" t="n">
        <f aca="false">B2+F13-B18+H13</f>
        <v>71910.15</v>
      </c>
    </row>
  </sheetData>
  <mergeCells count="1">
    <mergeCell ref="H2:I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1.88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209</v>
      </c>
      <c r="B2" s="16" t="n">
        <f aca="false">'Nov 2025'!F18</f>
        <v>39324.15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20" t="n">
        <v>3500</v>
      </c>
      <c r="G4" s="1" t="s">
        <v>221</v>
      </c>
    </row>
    <row r="5" customFormat="false" ht="15.75" hidden="false" customHeight="false" outlineLevel="0" collapsed="false">
      <c r="A5" s="1" t="s">
        <v>70</v>
      </c>
      <c r="B5" s="1" t="n">
        <v>13500</v>
      </c>
      <c r="C5" s="8" t="n">
        <v>45992</v>
      </c>
      <c r="D5" s="1"/>
      <c r="E5" s="1" t="s">
        <v>4</v>
      </c>
      <c r="F5" s="20" t="n">
        <v>3500</v>
      </c>
      <c r="G5" s="1" t="s">
        <v>221</v>
      </c>
      <c r="H5" s="1" t="n">
        <v>5000</v>
      </c>
    </row>
    <row r="6" customFormat="false" ht="15.75" hidden="false" customHeight="false" outlineLevel="0" collapsed="false">
      <c r="A6" s="1" t="s">
        <v>234</v>
      </c>
      <c r="B6" s="1" t="n">
        <v>3918</v>
      </c>
      <c r="C6" s="8" t="n">
        <v>45997</v>
      </c>
      <c r="D6" s="1"/>
      <c r="E6" s="1" t="s">
        <v>6</v>
      </c>
      <c r="F6" s="20" t="n">
        <v>3500</v>
      </c>
      <c r="G6" s="1" t="s">
        <v>221</v>
      </c>
    </row>
    <row r="7" customFormat="false" ht="15.75" hidden="false" customHeight="false" outlineLevel="0" collapsed="false">
      <c r="A7" s="1" t="s">
        <v>15</v>
      </c>
      <c r="B7" s="21" t="n">
        <v>3655</v>
      </c>
      <c r="C7" s="8" t="n">
        <v>45997</v>
      </c>
      <c r="D7" s="1"/>
      <c r="E7" s="1" t="s">
        <v>8</v>
      </c>
      <c r="F7" s="24" t="n">
        <v>3500</v>
      </c>
      <c r="G7" s="1" t="s">
        <v>221</v>
      </c>
      <c r="H7" s="24" t="n">
        <v>8500</v>
      </c>
      <c r="I7" s="1" t="s">
        <v>233</v>
      </c>
    </row>
    <row r="8" customFormat="false" ht="15.75" hidden="false" customHeight="false" outlineLevel="0" collapsed="false">
      <c r="A8" s="1" t="s">
        <v>196</v>
      </c>
      <c r="B8" s="1" t="n">
        <v>2000</v>
      </c>
      <c r="C8" s="8" t="n">
        <v>46001</v>
      </c>
      <c r="D8" s="1"/>
      <c r="E8" s="1" t="s">
        <v>10</v>
      </c>
      <c r="F8" s="20"/>
      <c r="G8" s="1"/>
    </row>
    <row r="9" customFormat="false" ht="15.75" hidden="false" customHeight="false" outlineLevel="0" collapsed="false">
      <c r="A9" s="1" t="s">
        <v>237</v>
      </c>
      <c r="B9" s="1" t="n">
        <v>500</v>
      </c>
      <c r="C9" s="8" t="n">
        <v>46001</v>
      </c>
      <c r="D9" s="1"/>
      <c r="E9" s="1" t="s">
        <v>12</v>
      </c>
      <c r="F9" s="20" t="n">
        <v>3500</v>
      </c>
      <c r="G9" s="1" t="s">
        <v>221</v>
      </c>
      <c r="H9" s="1" t="n">
        <v>5000</v>
      </c>
    </row>
    <row r="10" customFormat="false" ht="15.75" hidden="false" customHeight="false" outlineLevel="0" collapsed="false">
      <c r="A10" s="1" t="s">
        <v>238</v>
      </c>
      <c r="B10" s="1" t="n">
        <v>290</v>
      </c>
      <c r="C10" s="8" t="n">
        <v>46003</v>
      </c>
      <c r="D10" s="1"/>
      <c r="E10" s="1" t="s">
        <v>14</v>
      </c>
      <c r="F10" s="20" t="n">
        <v>3500</v>
      </c>
      <c r="G10" s="1" t="s">
        <v>221</v>
      </c>
      <c r="H10" s="1" t="n">
        <v>5000</v>
      </c>
    </row>
    <row r="11" customFormat="false" ht="15.75" hidden="false" customHeight="false" outlineLevel="0" collapsed="false">
      <c r="A11" s="1" t="s">
        <v>239</v>
      </c>
      <c r="B11" s="21" t="n">
        <v>2000</v>
      </c>
      <c r="C11" s="8" t="n">
        <v>46011</v>
      </c>
      <c r="D11" s="1"/>
      <c r="E11" s="1" t="s">
        <v>16</v>
      </c>
      <c r="F11" s="20" t="n">
        <v>3500</v>
      </c>
      <c r="G11" s="1" t="s">
        <v>221</v>
      </c>
      <c r="H11" s="1" t="n">
        <v>5000</v>
      </c>
    </row>
    <row r="12" customFormat="false" ht="15.75" hidden="false" customHeight="false" outlineLevel="0" collapsed="false">
      <c r="A12" s="1" t="s">
        <v>239</v>
      </c>
      <c r="B12" s="1" t="n">
        <v>2000</v>
      </c>
      <c r="C12" s="8" t="n">
        <v>46018</v>
      </c>
      <c r="D12" s="1"/>
      <c r="E12" s="1" t="s">
        <v>138</v>
      </c>
      <c r="F12" s="1" t="n">
        <v>278</v>
      </c>
    </row>
    <row r="13" customFormat="false" ht="15.75" hidden="false" customHeight="false" outlineLevel="0" collapsed="false">
      <c r="A13" s="1" t="s">
        <v>240</v>
      </c>
      <c r="B13" s="1" t="n">
        <v>1200</v>
      </c>
      <c r="C13" s="8" t="n">
        <v>46022</v>
      </c>
      <c r="D13" s="1"/>
      <c r="E13" s="1" t="s">
        <v>18</v>
      </c>
      <c r="F13" s="4" t="n">
        <f aca="false">SUM(F4:F12)</f>
        <v>24778</v>
      </c>
      <c r="H13" s="4" t="n">
        <f aca="false">SUM(H4:H11)</f>
        <v>28500</v>
      </c>
    </row>
    <row r="14" customFormat="false" ht="15.75" hidden="false" customHeight="false" outlineLevel="0" collapsed="false">
      <c r="C14" s="8"/>
      <c r="D14" s="1"/>
      <c r="E14" s="1"/>
    </row>
    <row r="15" customFormat="false" ht="15.75" hidden="false" customHeight="false" outlineLevel="0" collapsed="false">
      <c r="C15" s="8"/>
      <c r="D15" s="1"/>
      <c r="E15" s="1"/>
      <c r="F15" s="1"/>
    </row>
    <row r="16" customFormat="false" ht="15.75" hidden="false" customHeight="false" outlineLevel="0" collapsed="false">
      <c r="C16" s="8"/>
      <c r="D16" s="1"/>
      <c r="E16" s="1"/>
      <c r="F16" s="1"/>
    </row>
    <row r="17" customFormat="false" ht="15.75" hidden="false" customHeight="false" outlineLevel="0" collapsed="false">
      <c r="C17" s="8"/>
      <c r="D17" s="1"/>
      <c r="E17" s="1" t="s">
        <v>64</v>
      </c>
      <c r="F17" s="1" t="n">
        <v>0</v>
      </c>
    </row>
    <row r="18" customFormat="false" ht="15.75" hidden="false" customHeight="false" outlineLevel="0" collapsed="false">
      <c r="A18" s="1" t="s">
        <v>18</v>
      </c>
      <c r="B18" s="4" t="n">
        <f aca="false">SUM(B5:B17)</f>
        <v>29063</v>
      </c>
      <c r="D18" s="1"/>
      <c r="E18" s="22" t="s">
        <v>130</v>
      </c>
      <c r="F18" s="23" t="n">
        <f aca="false">B2+F13-B18+H13</f>
        <v>63539.15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1.88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209</v>
      </c>
      <c r="B2" s="16" t="n">
        <f aca="false">'Oct 2025'!F19</f>
        <v>32753.15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20" t="n">
        <v>3500</v>
      </c>
      <c r="G4" s="1" t="s">
        <v>210</v>
      </c>
    </row>
    <row r="5" customFormat="false" ht="15.75" hidden="false" customHeight="false" outlineLevel="0" collapsed="false">
      <c r="A5" s="1" t="s">
        <v>70</v>
      </c>
      <c r="B5" s="1" t="n">
        <v>12500</v>
      </c>
      <c r="C5" s="8" t="n">
        <v>45962</v>
      </c>
      <c r="D5" s="1"/>
      <c r="E5" s="1" t="s">
        <v>4</v>
      </c>
      <c r="F5" s="20" t="n">
        <v>3500</v>
      </c>
      <c r="G5" s="1" t="s">
        <v>210</v>
      </c>
    </row>
    <row r="6" customFormat="false" ht="15.75" hidden="false" customHeight="false" outlineLevel="0" collapsed="false">
      <c r="A6" s="1" t="s">
        <v>234</v>
      </c>
      <c r="B6" s="1" t="n">
        <v>4112</v>
      </c>
      <c r="C6" s="8" t="n">
        <v>45968</v>
      </c>
      <c r="D6" s="1"/>
      <c r="E6" s="1" t="s">
        <v>6</v>
      </c>
      <c r="F6" s="20" t="n">
        <v>3500</v>
      </c>
      <c r="G6" s="1" t="s">
        <v>210</v>
      </c>
    </row>
    <row r="7" customFormat="false" ht="15.75" hidden="false" customHeight="false" outlineLevel="0" collapsed="false">
      <c r="A7" s="1" t="s">
        <v>15</v>
      </c>
      <c r="B7" s="21" t="n">
        <v>3555</v>
      </c>
      <c r="C7" s="8" t="n">
        <v>45968</v>
      </c>
      <c r="D7" s="1"/>
      <c r="E7" s="1" t="s">
        <v>8</v>
      </c>
      <c r="F7" s="20" t="n">
        <v>3500</v>
      </c>
      <c r="G7" s="1" t="s">
        <v>210</v>
      </c>
    </row>
    <row r="8" customFormat="false" ht="15.75" hidden="false" customHeight="false" outlineLevel="0" collapsed="false">
      <c r="A8" s="1" t="s">
        <v>241</v>
      </c>
      <c r="B8" s="1" t="n">
        <v>2500</v>
      </c>
      <c r="C8" s="8" t="n">
        <v>45969</v>
      </c>
      <c r="D8" s="1"/>
      <c r="E8" s="1" t="s">
        <v>10</v>
      </c>
      <c r="F8" s="20" t="n">
        <v>7000</v>
      </c>
      <c r="G8" s="1" t="s">
        <v>242</v>
      </c>
    </row>
    <row r="9" customFormat="false" ht="15.75" hidden="false" customHeight="false" outlineLevel="0" collapsed="false">
      <c r="A9" s="1" t="s">
        <v>243</v>
      </c>
      <c r="B9" s="1" t="n">
        <v>500</v>
      </c>
      <c r="C9" s="8" t="n">
        <v>45976</v>
      </c>
      <c r="D9" s="1"/>
      <c r="E9" s="1" t="s">
        <v>12</v>
      </c>
      <c r="F9" s="20" t="n">
        <v>3500</v>
      </c>
      <c r="G9" s="1" t="s">
        <v>210</v>
      </c>
    </row>
    <row r="10" customFormat="false" ht="15.75" hidden="false" customHeight="false" outlineLevel="0" collapsed="false">
      <c r="A10" s="1" t="s">
        <v>24</v>
      </c>
      <c r="B10" s="1" t="n">
        <v>1500</v>
      </c>
      <c r="C10" s="8" t="n">
        <v>45979</v>
      </c>
      <c r="D10" s="1"/>
      <c r="E10" s="1" t="s">
        <v>14</v>
      </c>
      <c r="F10" s="20" t="n">
        <v>3500</v>
      </c>
      <c r="G10" s="1" t="s">
        <v>210</v>
      </c>
    </row>
    <row r="11" customFormat="false" ht="15.75" hidden="false" customHeight="false" outlineLevel="0" collapsed="false">
      <c r="A11" s="1" t="s">
        <v>244</v>
      </c>
      <c r="B11" s="21" t="n">
        <v>262</v>
      </c>
      <c r="C11" s="8" t="n">
        <v>45979</v>
      </c>
      <c r="D11" s="1"/>
      <c r="E11" s="1" t="s">
        <v>16</v>
      </c>
      <c r="F11" s="20" t="n">
        <v>3500</v>
      </c>
      <c r="G11" s="1" t="s">
        <v>210</v>
      </c>
    </row>
    <row r="12" customFormat="false" ht="15.75" hidden="false" customHeight="false" outlineLevel="0" collapsed="false">
      <c r="C12" s="8"/>
      <c r="D12" s="1"/>
      <c r="E12" s="1" t="s">
        <v>138</v>
      </c>
    </row>
    <row r="13" customFormat="false" ht="15.75" hidden="false" customHeight="false" outlineLevel="0" collapsed="false">
      <c r="C13" s="8"/>
      <c r="D13" s="1"/>
      <c r="E13" s="1" t="s">
        <v>18</v>
      </c>
      <c r="F13" s="4" t="n">
        <f aca="false">SUM(F4:F12)</f>
        <v>31500</v>
      </c>
    </row>
    <row r="14" customFormat="false" ht="15.75" hidden="false" customHeight="false" outlineLevel="0" collapsed="false">
      <c r="C14" s="8"/>
      <c r="D14" s="1"/>
      <c r="E14" s="1"/>
    </row>
    <row r="15" customFormat="false" ht="15.75" hidden="false" customHeight="false" outlineLevel="0" collapsed="false">
      <c r="C15" s="8"/>
      <c r="D15" s="1"/>
      <c r="E15" s="1"/>
      <c r="F15" s="1"/>
    </row>
    <row r="16" customFormat="false" ht="15.75" hidden="false" customHeight="false" outlineLevel="0" collapsed="false">
      <c r="C16" s="8"/>
      <c r="D16" s="1"/>
      <c r="E16" s="1"/>
      <c r="F16" s="1"/>
    </row>
    <row r="17" customFormat="false" ht="15.75" hidden="false" customHeight="false" outlineLevel="0" collapsed="false">
      <c r="C17" s="8"/>
      <c r="D17" s="1"/>
      <c r="E17" s="1" t="s">
        <v>64</v>
      </c>
      <c r="F17" s="1" t="n">
        <v>0</v>
      </c>
    </row>
    <row r="18" customFormat="false" ht="15.75" hidden="false" customHeight="false" outlineLevel="0" collapsed="false">
      <c r="A18" s="1" t="s">
        <v>18</v>
      </c>
      <c r="B18" s="4" t="n">
        <f aca="false">SUM(B5:B17)</f>
        <v>24929</v>
      </c>
      <c r="D18" s="1"/>
      <c r="E18" s="22" t="s">
        <v>130</v>
      </c>
      <c r="F18" s="23" t="n">
        <f aca="false">B2+F13-B18</f>
        <v>39324.15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1.88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209</v>
      </c>
      <c r="B2" s="16" t="n">
        <f aca="false">'Sept 2025'!F18</f>
        <v>20721.15</v>
      </c>
      <c r="C2" s="1"/>
    </row>
    <row r="3" customFormat="false" ht="15.75" hidden="false" customHeight="false" outlineLevel="0" collapsed="false">
      <c r="A3" s="1" t="s">
        <v>245</v>
      </c>
      <c r="C3" s="1" t="s">
        <v>47</v>
      </c>
      <c r="E3" s="0" t="s">
        <v>246</v>
      </c>
    </row>
    <row r="4" customFormat="false" ht="13.8" hidden="false" customHeight="false" outlineLevel="0" collapsed="false">
      <c r="A4" s="1"/>
      <c r="C4" s="1"/>
    </row>
    <row r="5" customFormat="false" ht="15.75" hidden="false" customHeight="false" outlineLevel="0" collapsed="false">
      <c r="B5" s="1"/>
      <c r="C5" s="7"/>
      <c r="D5" s="1"/>
      <c r="E5" s="1" t="s">
        <v>2</v>
      </c>
      <c r="F5" s="20" t="n">
        <v>3500</v>
      </c>
      <c r="G5" s="1" t="s">
        <v>210</v>
      </c>
    </row>
    <row r="6" customFormat="false" ht="15.75" hidden="false" customHeight="false" outlineLevel="0" collapsed="false">
      <c r="B6" s="1"/>
      <c r="C6" s="8"/>
      <c r="D6" s="1"/>
      <c r="E6" s="1" t="s">
        <v>4</v>
      </c>
      <c r="F6" s="20" t="n">
        <v>3500</v>
      </c>
      <c r="G6" s="1" t="s">
        <v>210</v>
      </c>
    </row>
    <row r="7" customFormat="false" ht="15.75" hidden="false" customHeight="false" outlineLevel="0" collapsed="false">
      <c r="A7" s="1" t="s">
        <v>247</v>
      </c>
      <c r="B7" s="1" t="n">
        <v>2500</v>
      </c>
      <c r="C7" s="8" t="n">
        <v>45937</v>
      </c>
      <c r="D7" s="1"/>
      <c r="E7" s="1" t="s">
        <v>6</v>
      </c>
      <c r="F7" s="20" t="n">
        <v>3500</v>
      </c>
      <c r="G7" s="1" t="s">
        <v>210</v>
      </c>
    </row>
    <row r="8" customFormat="false" ht="15.75" hidden="false" customHeight="false" outlineLevel="0" collapsed="false">
      <c r="A8" s="1" t="s">
        <v>248</v>
      </c>
      <c r="B8" s="1" t="n">
        <v>100</v>
      </c>
      <c r="C8" s="8" t="n">
        <v>45940</v>
      </c>
      <c r="D8" s="1"/>
      <c r="E8" s="1" t="s">
        <v>8</v>
      </c>
      <c r="F8" s="20" t="n">
        <v>3500</v>
      </c>
      <c r="G8" s="1" t="s">
        <v>210</v>
      </c>
    </row>
    <row r="9" customFormat="false" ht="15.75" hidden="false" customHeight="false" outlineLevel="0" collapsed="false">
      <c r="A9" s="1" t="s">
        <v>249</v>
      </c>
      <c r="B9" s="1" t="n">
        <v>3255</v>
      </c>
      <c r="C9" s="8" t="n">
        <v>45941</v>
      </c>
      <c r="D9" s="1"/>
      <c r="E9" s="1" t="s">
        <v>10</v>
      </c>
      <c r="F9" s="20"/>
      <c r="G9" s="1"/>
    </row>
    <row r="10" customFormat="false" ht="15.75" hidden="false" customHeight="false" outlineLevel="0" collapsed="false">
      <c r="A10" s="1" t="s">
        <v>250</v>
      </c>
      <c r="B10" s="1" t="n">
        <v>4313</v>
      </c>
      <c r="C10" s="8" t="n">
        <v>45941</v>
      </c>
      <c r="D10" s="1"/>
      <c r="E10" s="1" t="s">
        <v>12</v>
      </c>
      <c r="F10" s="20" t="n">
        <v>3500</v>
      </c>
      <c r="G10" s="1" t="s">
        <v>210</v>
      </c>
    </row>
    <row r="11" customFormat="false" ht="15.75" hidden="false" customHeight="false" outlineLevel="0" collapsed="false">
      <c r="A11" s="1" t="s">
        <v>196</v>
      </c>
      <c r="B11" s="1" t="n">
        <v>1000</v>
      </c>
      <c r="C11" s="8" t="n">
        <v>45950</v>
      </c>
      <c r="D11" s="1"/>
      <c r="E11" s="1" t="s">
        <v>14</v>
      </c>
      <c r="F11" s="20" t="n">
        <v>3500</v>
      </c>
      <c r="G11" s="1" t="s">
        <v>210</v>
      </c>
    </row>
    <row r="12" customFormat="false" ht="15.75" hidden="false" customHeight="false" outlineLevel="0" collapsed="false">
      <c r="A12" s="1" t="s">
        <v>251</v>
      </c>
      <c r="B12" s="21" t="n">
        <v>500</v>
      </c>
      <c r="C12" s="8" t="n">
        <v>45950</v>
      </c>
      <c r="D12" s="1"/>
      <c r="E12" s="1" t="s">
        <v>16</v>
      </c>
      <c r="F12" s="20" t="n">
        <v>3500</v>
      </c>
      <c r="G12" s="1" t="s">
        <v>210</v>
      </c>
    </row>
    <row r="13" customFormat="false" ht="15.75" hidden="false" customHeight="false" outlineLevel="0" collapsed="false">
      <c r="A13" s="1" t="s">
        <v>252</v>
      </c>
      <c r="B13" s="1" t="n">
        <v>500</v>
      </c>
      <c r="C13" s="8" t="n">
        <v>45958</v>
      </c>
      <c r="D13" s="1"/>
      <c r="E13" s="1" t="s">
        <v>138</v>
      </c>
    </row>
    <row r="14" customFormat="false" ht="15.75" hidden="false" customHeight="false" outlineLevel="0" collapsed="false">
      <c r="A14" s="1" t="s">
        <v>253</v>
      </c>
      <c r="B14" s="1" t="n">
        <v>300</v>
      </c>
      <c r="C14" s="8" t="n">
        <v>45958</v>
      </c>
      <c r="D14" s="1"/>
      <c r="E14" s="1" t="s">
        <v>18</v>
      </c>
      <c r="F14" s="4" t="n">
        <f aca="false">SUM(F5:F13)</f>
        <v>24500</v>
      </c>
    </row>
    <row r="15" customFormat="false" ht="15.75" hidden="false" customHeight="false" outlineLevel="0" collapsed="false">
      <c r="C15" s="8"/>
      <c r="D15" s="1"/>
      <c r="E15" s="1"/>
    </row>
    <row r="16" customFormat="false" ht="15.75" hidden="false" customHeight="false" outlineLevel="0" collapsed="false">
      <c r="C16" s="8"/>
      <c r="D16" s="1"/>
      <c r="E16" s="1"/>
      <c r="F16" s="1"/>
    </row>
    <row r="17" customFormat="false" ht="15.75" hidden="false" customHeight="false" outlineLevel="0" collapsed="false">
      <c r="C17" s="8"/>
      <c r="D17" s="1"/>
      <c r="E17" s="1"/>
      <c r="F17" s="1"/>
    </row>
    <row r="18" customFormat="false" ht="15.75" hidden="false" customHeight="false" outlineLevel="0" collapsed="false">
      <c r="C18" s="8"/>
      <c r="D18" s="1"/>
      <c r="E18" s="1" t="s">
        <v>64</v>
      </c>
      <c r="F18" s="1" t="n">
        <v>0</v>
      </c>
    </row>
    <row r="19" customFormat="false" ht="15.75" hidden="false" customHeight="false" outlineLevel="0" collapsed="false">
      <c r="A19" s="1" t="s">
        <v>254</v>
      </c>
      <c r="B19" s="4" t="n">
        <f aca="false">SUM(B6:B18)</f>
        <v>12468</v>
      </c>
      <c r="D19" s="1"/>
      <c r="E19" s="22" t="s">
        <v>130</v>
      </c>
      <c r="F19" s="23" t="n">
        <f aca="false">B2+F14-B19</f>
        <v>32753.15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1.88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209</v>
      </c>
      <c r="B2" s="16" t="n">
        <f aca="false">'Aug 2025'!F18</f>
        <v>15816.15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20" t="n">
        <v>3500</v>
      </c>
      <c r="G4" s="1" t="s">
        <v>210</v>
      </c>
    </row>
    <row r="5" customFormat="false" ht="15.75" hidden="false" customHeight="false" outlineLevel="0" collapsed="false">
      <c r="A5" s="1" t="s">
        <v>231</v>
      </c>
      <c r="B5" s="1" t="n">
        <v>300</v>
      </c>
      <c r="C5" s="8" t="n">
        <v>45901</v>
      </c>
      <c r="D5" s="1"/>
      <c r="E5" s="1" t="s">
        <v>4</v>
      </c>
      <c r="F5" s="20" t="n">
        <v>3500</v>
      </c>
      <c r="G5" s="1" t="s">
        <v>210</v>
      </c>
    </row>
    <row r="6" customFormat="false" ht="15.75" hidden="false" customHeight="false" outlineLevel="0" collapsed="false">
      <c r="A6" s="1" t="s">
        <v>255</v>
      </c>
      <c r="B6" s="1" t="n">
        <v>175</v>
      </c>
      <c r="C6" s="8" t="n">
        <v>45904</v>
      </c>
      <c r="D6" s="1"/>
      <c r="E6" s="1" t="s">
        <v>6</v>
      </c>
      <c r="F6" s="20" t="n">
        <v>3500</v>
      </c>
      <c r="G6" s="1" t="s">
        <v>210</v>
      </c>
    </row>
    <row r="7" customFormat="false" ht="15.75" hidden="false" customHeight="false" outlineLevel="0" collapsed="false">
      <c r="A7" s="1" t="s">
        <v>72</v>
      </c>
      <c r="B7" s="1" t="n">
        <v>500</v>
      </c>
      <c r="C7" s="8" t="n">
        <v>45906</v>
      </c>
      <c r="D7" s="1"/>
      <c r="E7" s="1" t="s">
        <v>8</v>
      </c>
      <c r="F7" s="20" t="n">
        <v>3500</v>
      </c>
      <c r="G7" s="1" t="s">
        <v>210</v>
      </c>
    </row>
    <row r="8" customFormat="false" ht="15.75" hidden="false" customHeight="false" outlineLevel="0" collapsed="false">
      <c r="A8" s="1" t="s">
        <v>256</v>
      </c>
      <c r="B8" s="1" t="n">
        <v>490</v>
      </c>
      <c r="C8" s="8" t="n">
        <v>45907</v>
      </c>
      <c r="D8" s="1"/>
      <c r="E8" s="1" t="s">
        <v>10</v>
      </c>
      <c r="F8" s="20" t="n">
        <v>3500</v>
      </c>
      <c r="G8" s="1" t="s">
        <v>210</v>
      </c>
    </row>
    <row r="9" customFormat="false" ht="15.75" hidden="false" customHeight="false" outlineLevel="0" collapsed="false">
      <c r="A9" s="1" t="s">
        <v>111</v>
      </c>
      <c r="B9" s="1" t="n">
        <v>180</v>
      </c>
      <c r="C9" s="8" t="n">
        <v>45907</v>
      </c>
      <c r="D9" s="1"/>
      <c r="E9" s="1" t="s">
        <v>12</v>
      </c>
      <c r="F9" s="20" t="n">
        <v>3500</v>
      </c>
      <c r="G9" s="1" t="s">
        <v>210</v>
      </c>
    </row>
    <row r="10" customFormat="false" ht="15.75" hidden="false" customHeight="false" outlineLevel="0" collapsed="false">
      <c r="A10" s="1" t="s">
        <v>234</v>
      </c>
      <c r="B10" s="1" t="n">
        <v>4464</v>
      </c>
      <c r="C10" s="8" t="n">
        <v>45907</v>
      </c>
      <c r="D10" s="1"/>
      <c r="E10" s="1" t="s">
        <v>14</v>
      </c>
      <c r="F10" s="20" t="n">
        <v>3500</v>
      </c>
      <c r="G10" s="1" t="s">
        <v>210</v>
      </c>
    </row>
    <row r="11" customFormat="false" ht="15.75" hidden="false" customHeight="false" outlineLevel="0" collapsed="false">
      <c r="A11" s="1" t="s">
        <v>15</v>
      </c>
      <c r="B11" s="21" t="n">
        <v>3155</v>
      </c>
      <c r="C11" s="8" t="n">
        <v>45907</v>
      </c>
      <c r="D11" s="1"/>
      <c r="E11" s="1" t="s">
        <v>16</v>
      </c>
      <c r="F11" s="20" t="n">
        <v>3500</v>
      </c>
      <c r="G11" s="1" t="s">
        <v>210</v>
      </c>
    </row>
    <row r="12" customFormat="false" ht="15.75" hidden="false" customHeight="false" outlineLevel="0" collapsed="false">
      <c r="A12" s="1" t="s">
        <v>257</v>
      </c>
      <c r="B12" s="1" t="n">
        <v>504</v>
      </c>
      <c r="C12" s="8" t="n">
        <v>45919</v>
      </c>
      <c r="D12" s="1"/>
      <c r="E12" s="1" t="s">
        <v>138</v>
      </c>
      <c r="F12" s="1" t="n">
        <v>173</v>
      </c>
    </row>
    <row r="13" customFormat="false" ht="15.75" hidden="false" customHeight="false" outlineLevel="0" collapsed="false">
      <c r="A13" s="1" t="s">
        <v>196</v>
      </c>
      <c r="B13" s="1" t="n">
        <v>13500</v>
      </c>
      <c r="C13" s="8" t="n">
        <v>45919</v>
      </c>
      <c r="D13" s="1"/>
      <c r="E13" s="1" t="s">
        <v>18</v>
      </c>
      <c r="F13" s="4" t="n">
        <f aca="false">SUM(F4:F12)</f>
        <v>28173</v>
      </c>
    </row>
    <row r="14" customFormat="false" ht="15.75" hidden="false" customHeight="false" outlineLevel="0" collapsed="false">
      <c r="C14" s="8"/>
      <c r="D14" s="1"/>
      <c r="E14" s="1"/>
    </row>
    <row r="15" customFormat="false" ht="15.75" hidden="false" customHeight="false" outlineLevel="0" collapsed="false">
      <c r="C15" s="8"/>
      <c r="D15" s="1"/>
      <c r="E15" s="1"/>
      <c r="F15" s="1"/>
    </row>
    <row r="16" customFormat="false" ht="15.75" hidden="false" customHeight="false" outlineLevel="0" collapsed="false">
      <c r="A16" s="1" t="s">
        <v>60</v>
      </c>
      <c r="C16" s="8"/>
      <c r="D16" s="1"/>
      <c r="E16" s="1"/>
      <c r="F16" s="1"/>
    </row>
    <row r="17" customFormat="false" ht="15.75" hidden="false" customHeight="false" outlineLevel="0" collapsed="false">
      <c r="C17" s="8"/>
      <c r="D17" s="1"/>
      <c r="E17" s="1" t="s">
        <v>64</v>
      </c>
      <c r="F17" s="1" t="n">
        <v>0</v>
      </c>
    </row>
    <row r="18" customFormat="false" ht="15.75" hidden="false" customHeight="false" outlineLevel="0" collapsed="false">
      <c r="A18" s="1" t="s">
        <v>18</v>
      </c>
      <c r="B18" s="4" t="n">
        <f aca="false">SUM(B5:B17)</f>
        <v>23268</v>
      </c>
      <c r="D18" s="1"/>
      <c r="E18" s="22" t="s">
        <v>130</v>
      </c>
      <c r="F18" s="23" t="n">
        <f aca="false">B2+F13-B18</f>
        <v>20721.15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.51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209</v>
      </c>
      <c r="B2" s="16" t="n">
        <f aca="false">'Jul 2025'!F18</f>
        <v>18481.15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20" t="n">
        <v>3500</v>
      </c>
      <c r="G4" s="1" t="s">
        <v>210</v>
      </c>
    </row>
    <row r="5" customFormat="false" ht="15.75" hidden="false" customHeight="false" outlineLevel="0" collapsed="false">
      <c r="A5" s="1" t="s">
        <v>70</v>
      </c>
      <c r="B5" s="1" t="n">
        <v>10500</v>
      </c>
      <c r="C5" s="8" t="n">
        <v>45870</v>
      </c>
      <c r="D5" s="1"/>
      <c r="E5" s="1" t="s">
        <v>4</v>
      </c>
      <c r="F5" s="20" t="n">
        <v>3500</v>
      </c>
      <c r="G5" s="1" t="s">
        <v>210</v>
      </c>
    </row>
    <row r="6" customFormat="false" ht="15.75" hidden="false" customHeight="false" outlineLevel="0" collapsed="false">
      <c r="A6" s="1" t="s">
        <v>72</v>
      </c>
      <c r="B6" s="1" t="n">
        <v>500</v>
      </c>
      <c r="C6" s="8" t="n">
        <v>45874</v>
      </c>
      <c r="D6" s="1"/>
      <c r="E6" s="1" t="s">
        <v>6</v>
      </c>
      <c r="F6" s="20" t="n">
        <v>3500</v>
      </c>
      <c r="G6" s="1" t="s">
        <v>210</v>
      </c>
    </row>
    <row r="7" customFormat="false" ht="15.75" hidden="false" customHeight="false" outlineLevel="0" collapsed="false">
      <c r="A7" s="1" t="s">
        <v>258</v>
      </c>
      <c r="B7" s="1" t="n">
        <v>1500</v>
      </c>
      <c r="C7" s="8" t="n">
        <v>45871</v>
      </c>
      <c r="D7" s="1"/>
      <c r="E7" s="1" t="s">
        <v>8</v>
      </c>
      <c r="F7" s="20" t="n">
        <v>3500</v>
      </c>
      <c r="G7" s="1" t="s">
        <v>210</v>
      </c>
    </row>
    <row r="8" customFormat="false" ht="15.75" hidden="false" customHeight="false" outlineLevel="0" collapsed="false">
      <c r="A8" s="1" t="s">
        <v>234</v>
      </c>
      <c r="B8" s="1" t="n">
        <v>4632</v>
      </c>
      <c r="C8" s="8" t="n">
        <v>45880</v>
      </c>
      <c r="D8" s="1"/>
      <c r="E8" s="1" t="s">
        <v>10</v>
      </c>
      <c r="F8" s="20" t="n">
        <v>7000</v>
      </c>
      <c r="G8" s="1" t="s">
        <v>210</v>
      </c>
      <c r="H8" s="1" t="s">
        <v>259</v>
      </c>
    </row>
    <row r="9" customFormat="false" ht="15.75" hidden="false" customHeight="false" outlineLevel="0" collapsed="false">
      <c r="A9" s="1" t="s">
        <v>15</v>
      </c>
      <c r="B9" s="1" t="n">
        <v>2755</v>
      </c>
      <c r="C9" s="8" t="n">
        <v>45880</v>
      </c>
      <c r="D9" s="1"/>
      <c r="E9" s="1" t="s">
        <v>12</v>
      </c>
      <c r="F9" s="20" t="n">
        <v>3500</v>
      </c>
      <c r="G9" s="1" t="s">
        <v>210</v>
      </c>
    </row>
    <row r="10" customFormat="false" ht="15.75" hidden="false" customHeight="false" outlineLevel="0" collapsed="false">
      <c r="A10" s="1" t="s">
        <v>196</v>
      </c>
      <c r="B10" s="1" t="n">
        <v>3000</v>
      </c>
      <c r="C10" s="8" t="n">
        <v>45880</v>
      </c>
      <c r="D10" s="1"/>
      <c r="E10" s="1" t="s">
        <v>14</v>
      </c>
      <c r="F10" s="20" t="n">
        <v>3500</v>
      </c>
      <c r="G10" s="1" t="s">
        <v>210</v>
      </c>
    </row>
    <row r="11" customFormat="false" ht="15.75" hidden="false" customHeight="false" outlineLevel="0" collapsed="false">
      <c r="A11" s="1" t="s">
        <v>231</v>
      </c>
      <c r="B11" s="21" t="n">
        <v>778</v>
      </c>
      <c r="C11" s="8" t="n">
        <v>45887</v>
      </c>
      <c r="D11" s="1"/>
      <c r="E11" s="1" t="s">
        <v>16</v>
      </c>
      <c r="F11" s="20" t="n">
        <v>3500</v>
      </c>
      <c r="G11" s="1" t="s">
        <v>210</v>
      </c>
    </row>
    <row r="12" customFormat="false" ht="15.75" hidden="false" customHeight="false" outlineLevel="0" collapsed="false">
      <c r="A12" s="1" t="s">
        <v>60</v>
      </c>
      <c r="B12" s="1" t="n">
        <v>5000</v>
      </c>
      <c r="C12" s="8" t="n">
        <v>45890</v>
      </c>
      <c r="D12" s="1"/>
      <c r="E12" s="1" t="s">
        <v>138</v>
      </c>
    </row>
    <row r="13" customFormat="false" ht="15.75" hidden="false" customHeight="false" outlineLevel="0" collapsed="false">
      <c r="A13" s="1" t="s">
        <v>60</v>
      </c>
      <c r="B13" s="1" t="n">
        <v>5500</v>
      </c>
      <c r="C13" s="8" t="n">
        <v>45895</v>
      </c>
      <c r="D13" s="1"/>
      <c r="E13" s="1" t="s">
        <v>18</v>
      </c>
      <c r="F13" s="4" t="n">
        <f aca="false">SUM(F4:F12)</f>
        <v>31500</v>
      </c>
    </row>
    <row r="14" customFormat="false" ht="15.75" hidden="false" customHeight="false" outlineLevel="0" collapsed="false">
      <c r="C14" s="8"/>
      <c r="D14" s="1"/>
      <c r="E14" s="1"/>
    </row>
    <row r="15" customFormat="false" ht="15.75" hidden="false" customHeight="false" outlineLevel="0" collapsed="false">
      <c r="C15" s="8"/>
      <c r="D15" s="1"/>
      <c r="E15" s="1"/>
      <c r="F15" s="1"/>
    </row>
    <row r="16" customFormat="false" ht="15.75" hidden="false" customHeight="false" outlineLevel="0" collapsed="false">
      <c r="A16" s="1" t="s">
        <v>60</v>
      </c>
      <c r="C16" s="8"/>
      <c r="D16" s="1"/>
      <c r="E16" s="1"/>
      <c r="F16" s="1"/>
    </row>
    <row r="17" customFormat="false" ht="15.75" hidden="false" customHeight="false" outlineLevel="0" collapsed="false">
      <c r="C17" s="8"/>
      <c r="D17" s="1"/>
      <c r="E17" s="1" t="s">
        <v>64</v>
      </c>
      <c r="F17" s="1" t="n">
        <v>0</v>
      </c>
    </row>
    <row r="18" customFormat="false" ht="15.75" hidden="false" customHeight="false" outlineLevel="0" collapsed="false">
      <c r="A18" s="1" t="s">
        <v>18</v>
      </c>
      <c r="B18" s="4" t="n">
        <f aca="false">SUM(B5:B17)</f>
        <v>34165</v>
      </c>
      <c r="D18" s="1"/>
      <c r="E18" s="22" t="s">
        <v>130</v>
      </c>
      <c r="F18" s="23" t="n">
        <f aca="false">B2+F13-B18</f>
        <v>15816.15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.51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209</v>
      </c>
      <c r="B2" s="16" t="n">
        <f aca="false">'June 2025'!F18</f>
        <v>27092.15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20" t="n">
        <v>3500</v>
      </c>
      <c r="G4" s="1" t="s">
        <v>210</v>
      </c>
    </row>
    <row r="5" customFormat="false" ht="15.75" hidden="false" customHeight="false" outlineLevel="0" collapsed="false">
      <c r="A5" s="1" t="s">
        <v>70</v>
      </c>
      <c r="B5" s="1" t="n">
        <v>8500</v>
      </c>
      <c r="C5" s="8" t="n">
        <v>45839</v>
      </c>
      <c r="D5" s="1"/>
      <c r="E5" s="1" t="s">
        <v>4</v>
      </c>
      <c r="F5" s="20" t="n">
        <v>3500</v>
      </c>
      <c r="G5" s="1" t="s">
        <v>210</v>
      </c>
    </row>
    <row r="6" customFormat="false" ht="15.75" hidden="false" customHeight="false" outlineLevel="0" collapsed="false">
      <c r="A6" s="1" t="s">
        <v>72</v>
      </c>
      <c r="B6" s="1" t="n">
        <v>500</v>
      </c>
      <c r="C6" s="8" t="n">
        <v>45843</v>
      </c>
      <c r="D6" s="1"/>
      <c r="E6" s="1" t="s">
        <v>6</v>
      </c>
      <c r="F6" s="20" t="n">
        <v>3500</v>
      </c>
      <c r="G6" s="1" t="s">
        <v>210</v>
      </c>
    </row>
    <row r="7" customFormat="false" ht="15.75" hidden="false" customHeight="false" outlineLevel="0" collapsed="false">
      <c r="A7" s="1" t="s">
        <v>180</v>
      </c>
      <c r="B7" s="1" t="n">
        <v>11000</v>
      </c>
      <c r="C7" s="8" t="n">
        <v>45842</v>
      </c>
      <c r="D7" s="1"/>
      <c r="E7" s="1" t="s">
        <v>8</v>
      </c>
      <c r="F7" s="20" t="n">
        <v>3500</v>
      </c>
      <c r="G7" s="1" t="s">
        <v>210</v>
      </c>
    </row>
    <row r="8" customFormat="false" ht="15.75" hidden="false" customHeight="false" outlineLevel="0" collapsed="false">
      <c r="A8" s="1" t="s">
        <v>234</v>
      </c>
      <c r="B8" s="1" t="n">
        <v>4556</v>
      </c>
      <c r="C8" s="8" t="n">
        <v>45843</v>
      </c>
      <c r="D8" s="1"/>
      <c r="E8" s="1" t="s">
        <v>10</v>
      </c>
      <c r="F8" s="20"/>
    </row>
    <row r="9" customFormat="false" ht="15.75" hidden="false" customHeight="false" outlineLevel="0" collapsed="false">
      <c r="A9" s="1" t="s">
        <v>15</v>
      </c>
      <c r="B9" s="1" t="n">
        <v>3555</v>
      </c>
      <c r="C9" s="17" t="n">
        <v>45855</v>
      </c>
      <c r="D9" s="1"/>
      <c r="E9" s="1" t="s">
        <v>12</v>
      </c>
      <c r="F9" s="20" t="n">
        <v>3500</v>
      </c>
      <c r="G9" s="1" t="s">
        <v>210</v>
      </c>
    </row>
    <row r="10" customFormat="false" ht="15.75" hidden="false" customHeight="false" outlineLevel="0" collapsed="false">
      <c r="A10" s="1" t="s">
        <v>24</v>
      </c>
      <c r="B10" s="1" t="n">
        <v>2000</v>
      </c>
      <c r="C10" s="8" t="n">
        <v>45862</v>
      </c>
      <c r="D10" s="1"/>
      <c r="E10" s="1" t="s">
        <v>14</v>
      </c>
      <c r="F10" s="20" t="n">
        <v>3500</v>
      </c>
      <c r="G10" s="1" t="s">
        <v>210</v>
      </c>
    </row>
    <row r="11" customFormat="false" ht="15.75" hidden="false" customHeight="false" outlineLevel="0" collapsed="false">
      <c r="A11" s="1" t="s">
        <v>196</v>
      </c>
      <c r="B11" s="1" t="n">
        <v>3000</v>
      </c>
      <c r="C11" s="8" t="n">
        <v>45866</v>
      </c>
      <c r="D11" s="1"/>
      <c r="E11" s="1" t="s">
        <v>16</v>
      </c>
      <c r="F11" s="20" t="n">
        <v>3500</v>
      </c>
      <c r="G11" s="1" t="s">
        <v>210</v>
      </c>
    </row>
    <row r="12" customFormat="false" ht="15.75" hidden="false" customHeight="false" outlineLevel="0" collapsed="false">
      <c r="C12" s="8"/>
      <c r="D12" s="1"/>
      <c r="E12" s="1" t="s">
        <v>138</v>
      </c>
    </row>
    <row r="13" customFormat="false" ht="15.75" hidden="false" customHeight="false" outlineLevel="0" collapsed="false">
      <c r="C13" s="8"/>
      <c r="D13" s="1"/>
      <c r="E13" s="1" t="s">
        <v>18</v>
      </c>
      <c r="F13" s="4" t="n">
        <f aca="false">SUM(F4:F12)</f>
        <v>24500</v>
      </c>
    </row>
    <row r="14" customFormat="false" ht="15.75" hidden="false" customHeight="false" outlineLevel="0" collapsed="false">
      <c r="C14" s="8"/>
      <c r="D14" s="1"/>
      <c r="E14" s="1"/>
    </row>
    <row r="15" customFormat="false" ht="15.75" hidden="false" customHeight="false" outlineLevel="0" collapsed="false">
      <c r="C15" s="8"/>
      <c r="D15" s="1"/>
      <c r="E15" s="1"/>
      <c r="F15" s="1"/>
    </row>
    <row r="16" customFormat="false" ht="15.75" hidden="false" customHeight="false" outlineLevel="0" collapsed="false">
      <c r="A16" s="1" t="s">
        <v>60</v>
      </c>
      <c r="C16" s="8"/>
      <c r="D16" s="1"/>
      <c r="E16" s="1"/>
      <c r="F16" s="1"/>
    </row>
    <row r="17" customFormat="false" ht="15.75" hidden="false" customHeight="false" outlineLevel="0" collapsed="false">
      <c r="C17" s="8"/>
      <c r="D17" s="1"/>
      <c r="E17" s="1" t="s">
        <v>64</v>
      </c>
      <c r="F17" s="1" t="n">
        <v>0</v>
      </c>
    </row>
    <row r="18" customFormat="false" ht="15.75" hidden="false" customHeight="false" outlineLevel="0" collapsed="false">
      <c r="A18" s="1" t="s">
        <v>18</v>
      </c>
      <c r="B18" s="4" t="n">
        <f aca="false">SUM(B5:B17)</f>
        <v>33111</v>
      </c>
      <c r="D18" s="1"/>
      <c r="E18" s="22" t="s">
        <v>130</v>
      </c>
      <c r="F18" s="23" t="n">
        <f aca="false">B2+F13-B18</f>
        <v>18481.15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.51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209</v>
      </c>
      <c r="B2" s="16" t="n">
        <f aca="false">'May 2025'!F18</f>
        <v>22642.15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20" t="n">
        <v>3500</v>
      </c>
      <c r="G4" s="1" t="s">
        <v>210</v>
      </c>
    </row>
    <row r="5" customFormat="false" ht="15.75" hidden="false" customHeight="false" outlineLevel="0" collapsed="false">
      <c r="A5" s="1" t="s">
        <v>70</v>
      </c>
      <c r="B5" s="1" t="n">
        <v>8500</v>
      </c>
      <c r="C5" s="8" t="n">
        <v>45809</v>
      </c>
      <c r="D5" s="1"/>
      <c r="E5" s="1" t="s">
        <v>4</v>
      </c>
      <c r="F5" s="20" t="n">
        <v>3500</v>
      </c>
      <c r="G5" s="1" t="s">
        <v>210</v>
      </c>
    </row>
    <row r="6" customFormat="false" ht="15.75" hidden="false" customHeight="false" outlineLevel="0" collapsed="false">
      <c r="A6" s="1" t="s">
        <v>72</v>
      </c>
      <c r="B6" s="1" t="n">
        <v>500</v>
      </c>
      <c r="C6" s="8" t="n">
        <v>45810</v>
      </c>
      <c r="D6" s="1"/>
      <c r="E6" s="1" t="s">
        <v>6</v>
      </c>
      <c r="F6" s="20" t="n">
        <v>3500</v>
      </c>
      <c r="G6" s="1" t="s">
        <v>210</v>
      </c>
    </row>
    <row r="7" customFormat="false" ht="15.75" hidden="false" customHeight="false" outlineLevel="0" collapsed="false">
      <c r="A7" s="1" t="s">
        <v>260</v>
      </c>
      <c r="B7" s="1" t="n">
        <v>5000</v>
      </c>
      <c r="C7" s="8" t="n">
        <v>45810</v>
      </c>
      <c r="D7" s="1"/>
      <c r="E7" s="1" t="s">
        <v>8</v>
      </c>
      <c r="F7" s="20" t="n">
        <v>3500</v>
      </c>
      <c r="G7" s="1" t="s">
        <v>210</v>
      </c>
    </row>
    <row r="8" customFormat="false" ht="15.75" hidden="false" customHeight="false" outlineLevel="0" collapsed="false">
      <c r="A8" s="1" t="s">
        <v>24</v>
      </c>
      <c r="B8" s="1" t="n">
        <v>2000</v>
      </c>
      <c r="C8" s="8" t="n">
        <v>45813</v>
      </c>
      <c r="D8" s="1"/>
      <c r="E8" s="1" t="s">
        <v>10</v>
      </c>
      <c r="F8" s="20" t="n">
        <v>3500</v>
      </c>
      <c r="G8" s="1" t="s">
        <v>210</v>
      </c>
    </row>
    <row r="9" customFormat="false" ht="15.75" hidden="false" customHeight="false" outlineLevel="0" collapsed="false">
      <c r="A9" s="1" t="s">
        <v>261</v>
      </c>
      <c r="B9" s="1" t="n">
        <v>3380</v>
      </c>
      <c r="C9" s="8" t="n">
        <v>45817</v>
      </c>
      <c r="D9" s="1"/>
      <c r="E9" s="1" t="s">
        <v>12</v>
      </c>
      <c r="F9" s="20" t="n">
        <v>3500</v>
      </c>
      <c r="G9" s="1" t="s">
        <v>210</v>
      </c>
    </row>
    <row r="10" customFormat="false" ht="15.75" hidden="false" customHeight="false" outlineLevel="0" collapsed="false">
      <c r="A10" s="1" t="s">
        <v>262</v>
      </c>
      <c r="B10" s="1" t="n">
        <v>464</v>
      </c>
      <c r="C10" s="8" t="n">
        <v>45818</v>
      </c>
      <c r="D10" s="1"/>
      <c r="E10" s="1" t="s">
        <v>14</v>
      </c>
      <c r="F10" s="20" t="n">
        <v>3500</v>
      </c>
      <c r="G10" s="1" t="s">
        <v>210</v>
      </c>
    </row>
    <row r="11" customFormat="false" ht="15.75" hidden="false" customHeight="false" outlineLevel="0" collapsed="false">
      <c r="A11" s="1" t="s">
        <v>263</v>
      </c>
      <c r="B11" s="1" t="n">
        <v>3900</v>
      </c>
      <c r="C11" s="8" t="n">
        <v>45819</v>
      </c>
      <c r="D11" s="1"/>
      <c r="E11" s="1" t="s">
        <v>16</v>
      </c>
      <c r="F11" s="20" t="n">
        <v>3500</v>
      </c>
      <c r="G11" s="1" t="s">
        <v>210</v>
      </c>
    </row>
    <row r="12" customFormat="false" ht="15.75" hidden="false" customHeight="false" outlineLevel="0" collapsed="false">
      <c r="C12" s="8"/>
      <c r="D12" s="1"/>
      <c r="E12" s="1" t="s">
        <v>138</v>
      </c>
      <c r="F12" s="1" t="n">
        <v>194</v>
      </c>
    </row>
    <row r="13" customFormat="false" ht="15.75" hidden="false" customHeight="false" outlineLevel="0" collapsed="false">
      <c r="C13" s="8"/>
      <c r="D13" s="1"/>
      <c r="E13" s="1" t="s">
        <v>18</v>
      </c>
      <c r="F13" s="4" t="n">
        <f aca="false">SUM(F4:F12)</f>
        <v>28194</v>
      </c>
    </row>
    <row r="14" customFormat="false" ht="15.75" hidden="false" customHeight="false" outlineLevel="0" collapsed="false">
      <c r="C14" s="8"/>
      <c r="D14" s="1"/>
      <c r="E14" s="1"/>
    </row>
    <row r="15" customFormat="false" ht="15.75" hidden="false" customHeight="false" outlineLevel="0" collapsed="false">
      <c r="C15" s="8"/>
      <c r="D15" s="1"/>
      <c r="E15" s="1"/>
      <c r="F15" s="1"/>
    </row>
    <row r="16" customFormat="false" ht="15.75" hidden="false" customHeight="false" outlineLevel="0" collapsed="false">
      <c r="A16" s="1" t="s">
        <v>60</v>
      </c>
      <c r="C16" s="8"/>
      <c r="D16" s="1"/>
      <c r="E16" s="1"/>
      <c r="F16" s="1"/>
    </row>
    <row r="17" customFormat="false" ht="15.75" hidden="false" customHeight="false" outlineLevel="0" collapsed="false">
      <c r="C17" s="8"/>
      <c r="D17" s="1"/>
      <c r="E17" s="1" t="s">
        <v>64</v>
      </c>
      <c r="F17" s="1" t="n">
        <v>0</v>
      </c>
    </row>
    <row r="18" customFormat="false" ht="15.75" hidden="false" customHeight="false" outlineLevel="0" collapsed="false">
      <c r="A18" s="1" t="s">
        <v>18</v>
      </c>
      <c r="B18" s="4" t="n">
        <f aca="false">SUM(B5:B17)</f>
        <v>23744</v>
      </c>
      <c r="D18" s="1"/>
      <c r="E18" s="22" t="s">
        <v>130</v>
      </c>
      <c r="F18" s="23" t="n">
        <f aca="false">B2+F13-B18</f>
        <v>27092.15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.51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209</v>
      </c>
      <c r="B2" s="16" t="n">
        <f aca="false">'Apr 2025'!F18</f>
        <v>24132.15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20" t="n">
        <v>3500</v>
      </c>
      <c r="G4" s="1" t="s">
        <v>210</v>
      </c>
    </row>
    <row r="5" customFormat="false" ht="15.75" hidden="false" customHeight="false" outlineLevel="0" collapsed="false">
      <c r="A5" s="1" t="s">
        <v>70</v>
      </c>
      <c r="B5" s="1" t="n">
        <v>9500</v>
      </c>
      <c r="C5" s="8" t="n">
        <v>45778</v>
      </c>
      <c r="D5" s="1"/>
      <c r="E5" s="1" t="s">
        <v>4</v>
      </c>
      <c r="F5" s="20" t="n">
        <v>3500</v>
      </c>
      <c r="G5" s="1" t="s">
        <v>210</v>
      </c>
    </row>
    <row r="6" customFormat="false" ht="15.75" hidden="false" customHeight="false" outlineLevel="0" collapsed="false">
      <c r="A6" s="1" t="s">
        <v>264</v>
      </c>
      <c r="B6" s="1" t="n">
        <v>220</v>
      </c>
      <c r="C6" s="8" t="n">
        <v>45778</v>
      </c>
      <c r="D6" s="1"/>
      <c r="E6" s="1" t="s">
        <v>6</v>
      </c>
      <c r="F6" s="20" t="n">
        <v>3500</v>
      </c>
      <c r="G6" s="1" t="s">
        <v>210</v>
      </c>
    </row>
    <row r="7" customFormat="false" ht="15.75" hidden="false" customHeight="false" outlineLevel="0" collapsed="false">
      <c r="A7" s="1" t="s">
        <v>72</v>
      </c>
      <c r="B7" s="1" t="n">
        <v>500</v>
      </c>
      <c r="C7" s="8" t="n">
        <v>45786</v>
      </c>
      <c r="D7" s="1"/>
      <c r="E7" s="1" t="s">
        <v>8</v>
      </c>
      <c r="F7" s="20" t="n">
        <v>3500</v>
      </c>
      <c r="G7" s="1" t="s">
        <v>210</v>
      </c>
    </row>
    <row r="8" customFormat="false" ht="15.75" hidden="false" customHeight="false" outlineLevel="0" collapsed="false">
      <c r="A8" s="1" t="s">
        <v>68</v>
      </c>
      <c r="B8" s="1" t="n">
        <v>5095</v>
      </c>
      <c r="C8" s="8" t="n">
        <v>45787</v>
      </c>
      <c r="D8" s="1"/>
      <c r="E8" s="1" t="s">
        <v>10</v>
      </c>
      <c r="F8" s="20" t="n">
        <v>3500</v>
      </c>
      <c r="G8" s="1" t="s">
        <v>210</v>
      </c>
    </row>
    <row r="9" customFormat="false" ht="15.75" hidden="false" customHeight="false" outlineLevel="0" collapsed="false">
      <c r="A9" s="1" t="s">
        <v>265</v>
      </c>
      <c r="B9" s="1" t="n">
        <v>3380</v>
      </c>
      <c r="C9" s="8" t="n">
        <v>45787</v>
      </c>
      <c r="D9" s="1"/>
      <c r="E9" s="1" t="s">
        <v>12</v>
      </c>
      <c r="F9" s="20" t="n">
        <v>3500</v>
      </c>
      <c r="G9" s="1" t="s">
        <v>210</v>
      </c>
    </row>
    <row r="10" customFormat="false" ht="15.75" hidden="false" customHeight="false" outlineLevel="0" collapsed="false">
      <c r="A10" s="1" t="s">
        <v>24</v>
      </c>
      <c r="B10" s="1" t="n">
        <v>1500</v>
      </c>
      <c r="C10" s="8" t="n">
        <v>45790</v>
      </c>
      <c r="D10" s="1"/>
      <c r="E10" s="1" t="s">
        <v>14</v>
      </c>
      <c r="F10" s="20" t="n">
        <v>3500</v>
      </c>
      <c r="G10" s="1" t="s">
        <v>210</v>
      </c>
    </row>
    <row r="11" customFormat="false" ht="15.75" hidden="false" customHeight="false" outlineLevel="0" collapsed="false">
      <c r="A11" s="1" t="s">
        <v>24</v>
      </c>
      <c r="B11" s="1" t="n">
        <v>3000</v>
      </c>
      <c r="C11" s="8" t="n">
        <v>45794</v>
      </c>
      <c r="D11" s="1"/>
      <c r="E11" s="1" t="s">
        <v>16</v>
      </c>
      <c r="F11" s="20" t="n">
        <v>3500</v>
      </c>
      <c r="G11" s="1" t="s">
        <v>210</v>
      </c>
    </row>
    <row r="12" customFormat="false" ht="15.75" hidden="false" customHeight="false" outlineLevel="0" collapsed="false">
      <c r="A12" s="1" t="s">
        <v>196</v>
      </c>
      <c r="B12" s="1" t="n">
        <v>1000</v>
      </c>
      <c r="C12" s="8" t="n">
        <v>45801</v>
      </c>
      <c r="D12" s="1"/>
      <c r="E12" s="1" t="s">
        <v>138</v>
      </c>
    </row>
    <row r="13" customFormat="false" ht="15.75" hidden="false" customHeight="false" outlineLevel="0" collapsed="false">
      <c r="A13" s="1" t="s">
        <v>266</v>
      </c>
      <c r="B13" s="1" t="n">
        <v>95</v>
      </c>
      <c r="C13" s="8" t="n">
        <v>45803</v>
      </c>
      <c r="D13" s="1"/>
      <c r="E13" s="1" t="s">
        <v>18</v>
      </c>
      <c r="F13" s="4" t="n">
        <f aca="false">SUM(F4:F12)</f>
        <v>28000</v>
      </c>
    </row>
    <row r="14" customFormat="false" ht="15.75" hidden="false" customHeight="false" outlineLevel="0" collapsed="false">
      <c r="A14" s="1" t="s">
        <v>266</v>
      </c>
      <c r="B14" s="1" t="n">
        <v>1200</v>
      </c>
      <c r="C14" s="8" t="n">
        <v>45803</v>
      </c>
      <c r="D14" s="1"/>
      <c r="E14" s="1"/>
    </row>
    <row r="15" customFormat="false" ht="15.75" hidden="false" customHeight="false" outlineLevel="0" collapsed="false">
      <c r="A15" s="1" t="s">
        <v>60</v>
      </c>
      <c r="B15" s="1" t="n">
        <v>1000</v>
      </c>
      <c r="C15" s="8" t="n">
        <v>45803</v>
      </c>
      <c r="D15" s="1"/>
      <c r="E15" s="1"/>
      <c r="F15" s="1"/>
    </row>
    <row r="16" customFormat="false" ht="15.75" hidden="false" customHeight="false" outlineLevel="0" collapsed="false">
      <c r="A16" s="1" t="s">
        <v>60</v>
      </c>
      <c r="B16" s="1" t="n">
        <v>3000</v>
      </c>
      <c r="C16" s="8" t="n">
        <v>45804</v>
      </c>
      <c r="D16" s="1"/>
      <c r="E16" s="1"/>
      <c r="F16" s="1"/>
    </row>
    <row r="17" customFormat="false" ht="15.75" hidden="false" customHeight="false" outlineLevel="0" collapsed="false">
      <c r="C17" s="8"/>
      <c r="D17" s="1"/>
      <c r="E17" s="1" t="s">
        <v>64</v>
      </c>
      <c r="F17" s="1" t="n">
        <v>0</v>
      </c>
    </row>
    <row r="18" customFormat="false" ht="15.75" hidden="false" customHeight="false" outlineLevel="0" collapsed="false">
      <c r="A18" s="1" t="s">
        <v>18</v>
      </c>
      <c r="B18" s="4" t="n">
        <f aca="false">SUM(B5:B17)</f>
        <v>29490</v>
      </c>
      <c r="D18" s="1"/>
      <c r="E18" s="22" t="s">
        <v>130</v>
      </c>
      <c r="F18" s="23" t="n">
        <f aca="false">B2+F13-B18</f>
        <v>22642.15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.51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209</v>
      </c>
      <c r="B2" s="16" t="n">
        <f aca="false">'Mar 2025'!F19</f>
        <v>20103.15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20" t="n">
        <v>3500</v>
      </c>
    </row>
    <row r="5" customFormat="false" ht="15.75" hidden="false" customHeight="false" outlineLevel="0" collapsed="false">
      <c r="A5" s="1" t="s">
        <v>70</v>
      </c>
      <c r="B5" s="1" t="n">
        <v>10500</v>
      </c>
      <c r="C5" s="8" t="n">
        <v>45748</v>
      </c>
      <c r="D5" s="1"/>
      <c r="E5" s="1" t="s">
        <v>4</v>
      </c>
      <c r="F5" s="20" t="n">
        <v>3500</v>
      </c>
    </row>
    <row r="6" customFormat="false" ht="15.75" hidden="false" customHeight="false" outlineLevel="0" collapsed="false">
      <c r="A6" s="1" t="s">
        <v>72</v>
      </c>
      <c r="B6" s="1" t="n">
        <v>500</v>
      </c>
      <c r="C6" s="8" t="n">
        <v>45748</v>
      </c>
      <c r="D6" s="1"/>
      <c r="E6" s="1" t="s">
        <v>6</v>
      </c>
      <c r="F6" s="20" t="n">
        <v>3500</v>
      </c>
    </row>
    <row r="7" customFormat="false" ht="15.75" hidden="false" customHeight="false" outlineLevel="0" collapsed="false">
      <c r="A7" s="1" t="s">
        <v>111</v>
      </c>
      <c r="B7" s="1" t="n">
        <v>200</v>
      </c>
      <c r="C7" s="8" t="n">
        <v>45748</v>
      </c>
      <c r="D7" s="1"/>
      <c r="E7" s="1" t="s">
        <v>8</v>
      </c>
      <c r="F7" s="20" t="n">
        <v>3500</v>
      </c>
    </row>
    <row r="8" customFormat="false" ht="15.75" hidden="false" customHeight="false" outlineLevel="0" collapsed="false">
      <c r="A8" s="1" t="s">
        <v>267</v>
      </c>
      <c r="B8" s="1" t="n">
        <v>5002</v>
      </c>
      <c r="C8" s="8" t="n">
        <v>45754</v>
      </c>
      <c r="D8" s="1"/>
      <c r="E8" s="1" t="s">
        <v>10</v>
      </c>
      <c r="F8" s="20" t="n">
        <v>3500</v>
      </c>
    </row>
    <row r="9" customFormat="false" ht="15.75" hidden="false" customHeight="false" outlineLevel="0" collapsed="false">
      <c r="A9" s="1" t="s">
        <v>15</v>
      </c>
      <c r="B9" s="1" t="n">
        <v>2690</v>
      </c>
      <c r="C9" s="8" t="n">
        <v>45754</v>
      </c>
      <c r="D9" s="1"/>
      <c r="E9" s="1" t="s">
        <v>12</v>
      </c>
      <c r="F9" s="20" t="n">
        <v>3500</v>
      </c>
    </row>
    <row r="10" customFormat="false" ht="15.75" hidden="false" customHeight="false" outlineLevel="0" collapsed="false">
      <c r="A10" s="1" t="s">
        <v>196</v>
      </c>
      <c r="B10" s="1" t="n">
        <v>4000</v>
      </c>
      <c r="C10" s="8" t="n">
        <v>45754</v>
      </c>
      <c r="D10" s="1"/>
      <c r="E10" s="1" t="s">
        <v>14</v>
      </c>
      <c r="F10" s="20" t="n">
        <v>3500</v>
      </c>
    </row>
    <row r="11" customFormat="false" ht="15.75" hidden="false" customHeight="false" outlineLevel="0" collapsed="false">
      <c r="A11" s="1" t="s">
        <v>214</v>
      </c>
      <c r="B11" s="1" t="n">
        <v>520</v>
      </c>
      <c r="C11" s="8" t="n">
        <v>45756</v>
      </c>
      <c r="D11" s="1"/>
      <c r="E11" s="1" t="s">
        <v>16</v>
      </c>
      <c r="F11" s="20" t="n">
        <v>3500</v>
      </c>
    </row>
    <row r="12" customFormat="false" ht="15.75" hidden="false" customHeight="false" outlineLevel="0" collapsed="false">
      <c r="A12" s="1" t="s">
        <v>231</v>
      </c>
      <c r="B12" s="1" t="n">
        <v>333</v>
      </c>
      <c r="C12" s="8" t="n">
        <v>45760</v>
      </c>
      <c r="D12" s="1"/>
      <c r="E12" s="1" t="s">
        <v>138</v>
      </c>
      <c r="F12" s="1" t="n">
        <v>234</v>
      </c>
    </row>
    <row r="13" customFormat="false" ht="15.75" hidden="false" customHeight="false" outlineLevel="0" collapsed="false">
      <c r="A13" s="1" t="s">
        <v>268</v>
      </c>
      <c r="B13" s="1" t="n">
        <v>460</v>
      </c>
      <c r="C13" s="8" t="n">
        <v>45760</v>
      </c>
      <c r="D13" s="1"/>
      <c r="E13" s="1" t="s">
        <v>18</v>
      </c>
      <c r="F13" s="4" t="n">
        <f aca="false">SUM(F4:F12)</f>
        <v>28234</v>
      </c>
    </row>
    <row r="14" customFormat="false" ht="15.75" hidden="false" customHeight="false" outlineLevel="0" collapsed="false">
      <c r="C14" s="8"/>
      <c r="D14" s="1"/>
      <c r="E14" s="1"/>
    </row>
    <row r="15" customFormat="false" ht="15.75" hidden="false" customHeight="false" outlineLevel="0" collapsed="false">
      <c r="C15" s="8"/>
      <c r="D15" s="1"/>
      <c r="E15" s="1"/>
      <c r="F15" s="1"/>
    </row>
    <row r="16" customFormat="false" ht="15.75" hidden="false" customHeight="false" outlineLevel="0" collapsed="false">
      <c r="A16" s="1" t="s">
        <v>60</v>
      </c>
      <c r="C16" s="8"/>
      <c r="D16" s="1"/>
      <c r="E16" s="1"/>
      <c r="F16" s="1"/>
    </row>
    <row r="17" customFormat="false" ht="15.75" hidden="false" customHeight="false" outlineLevel="0" collapsed="false">
      <c r="C17" s="8"/>
      <c r="D17" s="1"/>
      <c r="E17" s="1" t="s">
        <v>64</v>
      </c>
      <c r="F17" s="1" t="n">
        <v>0</v>
      </c>
    </row>
    <row r="18" customFormat="false" ht="15.75" hidden="false" customHeight="false" outlineLevel="0" collapsed="false">
      <c r="A18" s="1" t="s">
        <v>18</v>
      </c>
      <c r="B18" s="4" t="n">
        <f aca="false">SUM(B5:B17)</f>
        <v>24205</v>
      </c>
      <c r="D18" s="1"/>
      <c r="E18" s="22" t="s">
        <v>130</v>
      </c>
      <c r="F18" s="23" t="n">
        <f aca="false">B2+F13-B18</f>
        <v>24132.15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.51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6" t="n">
        <f aca="false">'Feb 2025'!F18</f>
        <v>41780.15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20" t="n">
        <v>3500</v>
      </c>
    </row>
    <row r="5" customFormat="false" ht="15.75" hidden="false" customHeight="false" outlineLevel="0" collapsed="false">
      <c r="A5" s="1" t="s">
        <v>70</v>
      </c>
      <c r="B5" s="1" t="n">
        <v>13500</v>
      </c>
      <c r="C5" s="8" t="n">
        <v>45717</v>
      </c>
      <c r="D5" s="1"/>
      <c r="E5" s="1" t="s">
        <v>4</v>
      </c>
      <c r="F5" s="20" t="n">
        <v>3500</v>
      </c>
    </row>
    <row r="6" customFormat="false" ht="15.75" hidden="false" customHeight="false" outlineLevel="0" collapsed="false">
      <c r="A6" s="1" t="s">
        <v>72</v>
      </c>
      <c r="B6" s="1" t="n">
        <v>500</v>
      </c>
      <c r="C6" s="8" t="n">
        <v>45721</v>
      </c>
      <c r="D6" s="1"/>
      <c r="E6" s="1" t="s">
        <v>6</v>
      </c>
      <c r="F6" s="20" t="n">
        <v>3500</v>
      </c>
    </row>
    <row r="7" customFormat="false" ht="15.75" hidden="false" customHeight="false" outlineLevel="0" collapsed="false">
      <c r="A7" s="1" t="s">
        <v>269</v>
      </c>
      <c r="B7" s="1" t="n">
        <v>6000</v>
      </c>
      <c r="C7" s="8" t="n">
        <v>45717</v>
      </c>
      <c r="D7" s="1"/>
      <c r="E7" s="1" t="s">
        <v>8</v>
      </c>
      <c r="F7" s="20" t="n">
        <v>3500</v>
      </c>
    </row>
    <row r="8" customFormat="false" ht="15.75" hidden="false" customHeight="false" outlineLevel="0" collapsed="false">
      <c r="A8" s="1" t="s">
        <v>269</v>
      </c>
      <c r="B8" s="1" t="n">
        <v>2000</v>
      </c>
      <c r="C8" s="8" t="n">
        <v>45717</v>
      </c>
      <c r="D8" s="1"/>
      <c r="E8" s="1" t="s">
        <v>10</v>
      </c>
      <c r="F8" s="20" t="n">
        <v>3500</v>
      </c>
    </row>
    <row r="9" customFormat="false" ht="15.75" hidden="false" customHeight="false" outlineLevel="0" collapsed="false">
      <c r="A9" s="1" t="s">
        <v>270</v>
      </c>
      <c r="B9" s="1" t="n">
        <v>340</v>
      </c>
      <c r="C9" s="8" t="n">
        <v>45717</v>
      </c>
      <c r="D9" s="1"/>
      <c r="E9" s="1" t="s">
        <v>12</v>
      </c>
      <c r="F9" s="20" t="n">
        <v>3500</v>
      </c>
    </row>
    <row r="10" customFormat="false" ht="15.75" hidden="false" customHeight="false" outlineLevel="0" collapsed="false">
      <c r="A10" s="1" t="s">
        <v>269</v>
      </c>
      <c r="B10" s="1" t="n">
        <v>8000</v>
      </c>
      <c r="C10" s="8" t="n">
        <v>45718</v>
      </c>
      <c r="D10" s="1"/>
      <c r="E10" s="1" t="s">
        <v>14</v>
      </c>
      <c r="F10" s="20" t="n">
        <v>3500</v>
      </c>
    </row>
    <row r="11" customFormat="false" ht="15.75" hidden="false" customHeight="false" outlineLevel="0" collapsed="false">
      <c r="A11" s="1" t="s">
        <v>271</v>
      </c>
      <c r="B11" s="1" t="n">
        <v>6000</v>
      </c>
      <c r="C11" s="8" t="n">
        <v>45718</v>
      </c>
      <c r="D11" s="1"/>
      <c r="E11" s="1" t="s">
        <v>16</v>
      </c>
      <c r="F11" s="20" t="n">
        <v>3500</v>
      </c>
    </row>
    <row r="12" customFormat="false" ht="15.75" hidden="false" customHeight="false" outlineLevel="0" collapsed="false">
      <c r="A12" s="1" t="s">
        <v>272</v>
      </c>
      <c r="B12" s="1" t="n">
        <v>1100</v>
      </c>
      <c r="C12" s="8" t="n">
        <v>45719</v>
      </c>
      <c r="D12" s="1"/>
      <c r="E12" s="1" t="s">
        <v>138</v>
      </c>
    </row>
    <row r="13" customFormat="false" ht="15.75" hidden="false" customHeight="false" outlineLevel="0" collapsed="false">
      <c r="A13" s="1" t="s">
        <v>24</v>
      </c>
      <c r="B13" s="1" t="n">
        <v>2000</v>
      </c>
      <c r="C13" s="8" t="n">
        <v>45721</v>
      </c>
      <c r="D13" s="1"/>
      <c r="E13" s="1" t="s">
        <v>18</v>
      </c>
      <c r="F13" s="4" t="n">
        <f aca="false">SUM(F4:F12)</f>
        <v>28000</v>
      </c>
    </row>
    <row r="14" customFormat="false" ht="15.75" hidden="false" customHeight="false" outlineLevel="0" collapsed="false">
      <c r="A14" s="1" t="s">
        <v>273</v>
      </c>
      <c r="B14" s="1" t="n">
        <v>4811</v>
      </c>
      <c r="C14" s="8" t="n">
        <v>45723</v>
      </c>
      <c r="D14" s="1"/>
      <c r="E14" s="1"/>
    </row>
    <row r="15" customFormat="false" ht="15.75" hidden="false" customHeight="false" outlineLevel="0" collapsed="false">
      <c r="A15" s="1" t="s">
        <v>274</v>
      </c>
      <c r="B15" s="1" t="n">
        <v>2426</v>
      </c>
      <c r="C15" s="8" t="n">
        <v>45723</v>
      </c>
      <c r="D15" s="1"/>
      <c r="E15" s="1"/>
      <c r="F15" s="1"/>
    </row>
    <row r="16" customFormat="false" ht="15.75" hidden="false" customHeight="false" outlineLevel="0" collapsed="false">
      <c r="A16" s="1" t="s">
        <v>60</v>
      </c>
      <c r="B16" s="1" t="n">
        <v>1000</v>
      </c>
      <c r="C16" s="8" t="n">
        <v>45729</v>
      </c>
      <c r="D16" s="1"/>
      <c r="E16" s="1"/>
      <c r="F16" s="1"/>
    </row>
    <row r="17" customFormat="false" ht="15.75" hidden="false" customHeight="false" outlineLevel="0" collapsed="false">
      <c r="A17" s="1" t="s">
        <v>60</v>
      </c>
      <c r="B17" s="1" t="n">
        <v>2000</v>
      </c>
      <c r="C17" s="8" t="n">
        <v>45735</v>
      </c>
      <c r="D17" s="1"/>
      <c r="E17" s="1"/>
      <c r="F17" s="1"/>
    </row>
    <row r="18" customFormat="false" ht="15.75" hidden="false" customHeight="false" outlineLevel="0" collapsed="false">
      <c r="C18" s="8"/>
      <c r="D18" s="1"/>
      <c r="E18" s="1" t="s">
        <v>64</v>
      </c>
      <c r="F18" s="1" t="n">
        <v>0</v>
      </c>
    </row>
    <row r="19" customFormat="false" ht="15.75" hidden="false" customHeight="false" outlineLevel="0" collapsed="false">
      <c r="A19" s="1" t="s">
        <v>18</v>
      </c>
      <c r="B19" s="4" t="n">
        <f aca="false">SUM(B5:B18)</f>
        <v>49677</v>
      </c>
      <c r="D19" s="1"/>
      <c r="E19" s="1" t="s">
        <v>130</v>
      </c>
      <c r="F19" s="13" t="n">
        <f aca="false">B2+F13-B19</f>
        <v>20103.15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.51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6" t="n">
        <f aca="false">'Jan 2025'!F18</f>
        <v>25638.15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20" t="n">
        <v>3500</v>
      </c>
    </row>
    <row r="5" customFormat="false" ht="15.75" hidden="false" customHeight="false" outlineLevel="0" collapsed="false">
      <c r="A5" s="1" t="s">
        <v>70</v>
      </c>
      <c r="B5" s="1" t="n">
        <v>5500</v>
      </c>
      <c r="C5" s="8" t="n">
        <v>45689</v>
      </c>
      <c r="D5" s="1"/>
      <c r="E5" s="1" t="s">
        <v>4</v>
      </c>
      <c r="F5" s="20" t="n">
        <v>3500</v>
      </c>
    </row>
    <row r="6" customFormat="false" ht="15.75" hidden="false" customHeight="false" outlineLevel="0" collapsed="false">
      <c r="A6" s="1" t="s">
        <v>72</v>
      </c>
      <c r="B6" s="1" t="n">
        <v>500</v>
      </c>
      <c r="C6" s="8" t="n">
        <v>45689</v>
      </c>
      <c r="D6" s="1"/>
      <c r="E6" s="1" t="s">
        <v>6</v>
      </c>
      <c r="F6" s="20" t="n">
        <v>3500</v>
      </c>
    </row>
    <row r="7" customFormat="false" ht="15.75" hidden="false" customHeight="false" outlineLevel="0" collapsed="false">
      <c r="A7" s="1" t="s">
        <v>24</v>
      </c>
      <c r="B7" s="1" t="n">
        <v>2000</v>
      </c>
      <c r="C7" s="8" t="n">
        <v>45689</v>
      </c>
      <c r="D7" s="1"/>
      <c r="E7" s="1" t="s">
        <v>8</v>
      </c>
      <c r="F7" s="20" t="n">
        <v>3500</v>
      </c>
    </row>
    <row r="8" customFormat="false" ht="15.75" hidden="false" customHeight="false" outlineLevel="0" collapsed="false">
      <c r="A8" s="1" t="s">
        <v>275</v>
      </c>
      <c r="B8" s="1" t="n">
        <v>200</v>
      </c>
      <c r="C8" s="8" t="n">
        <v>45694</v>
      </c>
      <c r="D8" s="1"/>
      <c r="E8" s="1" t="s">
        <v>10</v>
      </c>
      <c r="F8" s="20" t="n">
        <v>7500</v>
      </c>
    </row>
    <row r="9" customFormat="false" ht="15.75" hidden="false" customHeight="false" outlineLevel="0" collapsed="false">
      <c r="A9" s="1" t="s">
        <v>15</v>
      </c>
      <c r="B9" s="1" t="n">
        <v>2448</v>
      </c>
      <c r="C9" s="8" t="n">
        <v>45696</v>
      </c>
      <c r="D9" s="1"/>
      <c r="E9" s="1" t="s">
        <v>12</v>
      </c>
      <c r="F9" s="20" t="n">
        <v>3500</v>
      </c>
    </row>
    <row r="10" customFormat="false" ht="15.75" hidden="false" customHeight="false" outlineLevel="0" collapsed="false">
      <c r="A10" s="1" t="s">
        <v>234</v>
      </c>
      <c r="B10" s="1" t="n">
        <v>4510</v>
      </c>
      <c r="C10" s="8" t="n">
        <v>45696</v>
      </c>
      <c r="D10" s="1"/>
      <c r="E10" s="1" t="s">
        <v>14</v>
      </c>
      <c r="F10" s="20" t="n">
        <v>3500</v>
      </c>
    </row>
    <row r="11" customFormat="false" ht="15.75" hidden="false" customHeight="false" outlineLevel="0" collapsed="false">
      <c r="A11" s="1" t="s">
        <v>276</v>
      </c>
      <c r="B11" s="1" t="n">
        <v>300</v>
      </c>
      <c r="C11" s="8" t="n">
        <v>45696</v>
      </c>
      <c r="D11" s="1"/>
      <c r="E11" s="1" t="s">
        <v>16</v>
      </c>
      <c r="F11" s="20" t="n">
        <v>3500</v>
      </c>
    </row>
    <row r="12" customFormat="false" ht="15.75" hidden="false" customHeight="false" outlineLevel="0" collapsed="false">
      <c r="A12" s="1" t="s">
        <v>277</v>
      </c>
      <c r="B12" s="1" t="n">
        <v>400</v>
      </c>
      <c r="C12" s="8" t="n">
        <v>45702</v>
      </c>
      <c r="D12" s="1"/>
      <c r="E12" s="1" t="s">
        <v>138</v>
      </c>
    </row>
    <row r="13" customFormat="false" ht="15.75" hidden="false" customHeight="false" outlineLevel="0" collapsed="false">
      <c r="C13" s="8"/>
      <c r="D13" s="1"/>
      <c r="E13" s="1" t="s">
        <v>18</v>
      </c>
      <c r="F13" s="4" t="n">
        <f aca="false">SUM(F4:F12)</f>
        <v>32000</v>
      </c>
    </row>
    <row r="14" customFormat="false" ht="15.75" hidden="false" customHeight="false" outlineLevel="0" collapsed="false">
      <c r="C14" s="8"/>
      <c r="D14" s="1"/>
      <c r="E14" s="1"/>
    </row>
    <row r="15" customFormat="false" ht="15.75" hidden="false" customHeight="false" outlineLevel="0" collapsed="false">
      <c r="C15" s="8"/>
      <c r="D15" s="1"/>
      <c r="E15" s="1"/>
      <c r="F15" s="1"/>
    </row>
    <row r="16" customFormat="false" ht="15.75" hidden="false" customHeight="false" outlineLevel="0" collapsed="false">
      <c r="C16" s="8"/>
      <c r="D16" s="1"/>
      <c r="E16" s="1"/>
      <c r="F16" s="1"/>
    </row>
    <row r="17" customFormat="false" ht="15.75" hidden="false" customHeight="false" outlineLevel="0" collapsed="false">
      <c r="C17" s="8"/>
      <c r="D17" s="1"/>
      <c r="E17" s="1" t="s">
        <v>64</v>
      </c>
      <c r="F17" s="1" t="n">
        <v>0</v>
      </c>
    </row>
    <row r="18" customFormat="false" ht="15.75" hidden="false" customHeight="false" outlineLevel="0" collapsed="false">
      <c r="A18" s="1" t="s">
        <v>18</v>
      </c>
      <c r="B18" s="4" t="n">
        <f aca="false">SUM(B5:B17)</f>
        <v>15858</v>
      </c>
      <c r="D18" s="1"/>
      <c r="E18" s="1" t="s">
        <v>130</v>
      </c>
      <c r="F18" s="13" t="n">
        <f aca="false">B2+F13-B18</f>
        <v>41780.15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.51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6" t="n">
        <f aca="false">'Dec 2024'!F18</f>
        <v>14217.15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20" t="n">
        <v>3500</v>
      </c>
    </row>
    <row r="5" customFormat="false" ht="15.75" hidden="false" customHeight="false" outlineLevel="0" collapsed="false">
      <c r="A5" s="1" t="s">
        <v>278</v>
      </c>
      <c r="B5" s="1" t="n">
        <v>500</v>
      </c>
      <c r="C5" s="8" t="n">
        <v>45658</v>
      </c>
      <c r="D5" s="1"/>
      <c r="E5" s="1" t="s">
        <v>4</v>
      </c>
      <c r="F5" s="20" t="n">
        <v>3500</v>
      </c>
    </row>
    <row r="6" customFormat="false" ht="15.75" hidden="false" customHeight="false" outlineLevel="0" collapsed="false">
      <c r="A6" s="1" t="s">
        <v>72</v>
      </c>
      <c r="B6" s="1" t="n">
        <v>500</v>
      </c>
      <c r="C6" s="8" t="n">
        <v>45658</v>
      </c>
      <c r="D6" s="1"/>
      <c r="E6" s="1" t="s">
        <v>6</v>
      </c>
      <c r="F6" s="20" t="n">
        <v>4000</v>
      </c>
    </row>
    <row r="7" customFormat="false" ht="15.75" hidden="false" customHeight="false" outlineLevel="0" collapsed="false">
      <c r="A7" s="1" t="s">
        <v>84</v>
      </c>
      <c r="B7" s="1" t="n">
        <v>4153</v>
      </c>
      <c r="C7" s="8" t="n">
        <v>45667</v>
      </c>
      <c r="D7" s="1"/>
      <c r="E7" s="1" t="s">
        <v>8</v>
      </c>
      <c r="F7" s="20" t="n">
        <v>3500</v>
      </c>
    </row>
    <row r="8" customFormat="false" ht="15.75" hidden="false" customHeight="false" outlineLevel="0" collapsed="false">
      <c r="A8" s="1" t="s">
        <v>15</v>
      </c>
      <c r="B8" s="1" t="n">
        <v>2426</v>
      </c>
      <c r="C8" s="8" t="n">
        <v>45667</v>
      </c>
      <c r="D8" s="1"/>
      <c r="E8" s="1" t="s">
        <v>10</v>
      </c>
      <c r="F8" s="20" t="n">
        <v>7000</v>
      </c>
    </row>
    <row r="9" customFormat="false" ht="15.75" hidden="false" customHeight="false" outlineLevel="0" collapsed="false">
      <c r="A9" s="1" t="s">
        <v>279</v>
      </c>
      <c r="B9" s="1" t="n">
        <v>5000</v>
      </c>
      <c r="C9" s="8" t="n">
        <v>45669</v>
      </c>
      <c r="D9" s="1"/>
      <c r="E9" s="1" t="s">
        <v>12</v>
      </c>
      <c r="F9" s="20" t="n">
        <v>3500</v>
      </c>
    </row>
    <row r="10" customFormat="false" ht="15.75" hidden="false" customHeight="false" outlineLevel="0" collapsed="false">
      <c r="A10" s="1" t="s">
        <v>60</v>
      </c>
      <c r="B10" s="1" t="n">
        <v>1000</v>
      </c>
      <c r="C10" s="8" t="n">
        <v>45669</v>
      </c>
      <c r="D10" s="1"/>
      <c r="E10" s="1" t="s">
        <v>14</v>
      </c>
      <c r="F10" s="20" t="n">
        <v>3500</v>
      </c>
    </row>
    <row r="11" customFormat="false" ht="15.75" hidden="false" customHeight="false" outlineLevel="0" collapsed="false">
      <c r="A11" s="1" t="s">
        <v>60</v>
      </c>
      <c r="B11" s="1" t="n">
        <v>6000</v>
      </c>
      <c r="C11" s="8" t="n">
        <v>45683</v>
      </c>
      <c r="D11" s="1"/>
      <c r="E11" s="1" t="s">
        <v>16</v>
      </c>
      <c r="F11" s="20" t="n">
        <v>3500</v>
      </c>
    </row>
    <row r="12" customFormat="false" ht="15.75" hidden="false" customHeight="false" outlineLevel="0" collapsed="false">
      <c r="A12" s="1" t="s">
        <v>60</v>
      </c>
      <c r="B12" s="1" t="n">
        <v>1000</v>
      </c>
      <c r="C12" s="8" t="n">
        <v>45687</v>
      </c>
      <c r="D12" s="1"/>
      <c r="E12" s="1" t="s">
        <v>138</v>
      </c>
    </row>
    <row r="13" customFormat="false" ht="15.75" hidden="false" customHeight="false" outlineLevel="0" collapsed="false">
      <c r="C13" s="8"/>
      <c r="D13" s="1"/>
      <c r="E13" s="1" t="s">
        <v>18</v>
      </c>
      <c r="F13" s="4" t="n">
        <f aca="false">SUM(F4:F12)</f>
        <v>32000</v>
      </c>
    </row>
    <row r="14" customFormat="false" ht="15.75" hidden="false" customHeight="false" outlineLevel="0" collapsed="false">
      <c r="C14" s="8"/>
      <c r="D14" s="1"/>
      <c r="E14" s="1"/>
    </row>
    <row r="15" customFormat="false" ht="15.75" hidden="false" customHeight="false" outlineLevel="0" collapsed="false">
      <c r="C15" s="8"/>
      <c r="D15" s="1"/>
      <c r="E15" s="1"/>
      <c r="F15" s="1"/>
    </row>
    <row r="16" customFormat="false" ht="15.75" hidden="false" customHeight="false" outlineLevel="0" collapsed="false">
      <c r="C16" s="8"/>
      <c r="D16" s="1"/>
      <c r="E16" s="1"/>
      <c r="F16" s="1"/>
    </row>
    <row r="17" customFormat="false" ht="15.75" hidden="false" customHeight="false" outlineLevel="0" collapsed="false">
      <c r="C17" s="8"/>
      <c r="D17" s="1"/>
      <c r="E17" s="1" t="s">
        <v>64</v>
      </c>
      <c r="F17" s="1" t="n">
        <v>0</v>
      </c>
    </row>
    <row r="18" customFormat="false" ht="15.75" hidden="false" customHeight="false" outlineLevel="0" collapsed="false">
      <c r="A18" s="1" t="s">
        <v>18</v>
      </c>
      <c r="B18" s="4" t="n">
        <f aca="false">SUM(B5:B17)</f>
        <v>20579</v>
      </c>
      <c r="D18" s="1"/>
      <c r="E18" s="1" t="s">
        <v>130</v>
      </c>
      <c r="F18" s="13" t="n">
        <f aca="false">B2+F13-B18</f>
        <v>25638.15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.51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6" t="n">
        <f aca="false">'Aug 2024'!F18</f>
        <v>14723.15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1" t="n">
        <v>3500</v>
      </c>
    </row>
    <row r="5" customFormat="false" ht="15.75" hidden="false" customHeight="false" outlineLevel="0" collapsed="false">
      <c r="A5" s="1" t="s">
        <v>126</v>
      </c>
      <c r="B5" s="1" t="n">
        <v>10500</v>
      </c>
      <c r="C5" s="8" t="n">
        <v>45536</v>
      </c>
      <c r="D5" s="1"/>
      <c r="E5" s="1" t="s">
        <v>4</v>
      </c>
      <c r="F5" s="1" t="n">
        <v>3500</v>
      </c>
    </row>
    <row r="6" customFormat="false" ht="15.75" hidden="false" customHeight="false" outlineLevel="0" collapsed="false">
      <c r="A6" s="1" t="s">
        <v>156</v>
      </c>
      <c r="B6" s="1" t="n">
        <v>500</v>
      </c>
      <c r="C6" s="8" t="n">
        <v>45540</v>
      </c>
      <c r="D6" s="1"/>
      <c r="E6" s="1" t="s">
        <v>6</v>
      </c>
      <c r="F6" s="1" t="n">
        <v>3500</v>
      </c>
    </row>
    <row r="7" customFormat="false" ht="15.75" hidden="false" customHeight="false" outlineLevel="0" collapsed="false">
      <c r="A7" s="1" t="s">
        <v>280</v>
      </c>
      <c r="B7" s="1" t="n">
        <v>1700</v>
      </c>
      <c r="C7" s="8" t="n">
        <v>45538</v>
      </c>
      <c r="D7" s="1"/>
      <c r="E7" s="1" t="s">
        <v>8</v>
      </c>
      <c r="F7" s="1" t="n">
        <v>3500</v>
      </c>
    </row>
    <row r="8" customFormat="false" ht="15.75" hidden="false" customHeight="false" outlineLevel="0" collapsed="false">
      <c r="A8" s="1" t="s">
        <v>197</v>
      </c>
      <c r="B8" s="1"/>
      <c r="C8" s="8"/>
      <c r="D8" s="1"/>
      <c r="E8" s="1" t="s">
        <v>10</v>
      </c>
      <c r="F8" s="1" t="n">
        <v>3500</v>
      </c>
    </row>
    <row r="9" customFormat="false" ht="15.75" hidden="false" customHeight="false" outlineLevel="0" collapsed="false">
      <c r="A9" s="1" t="s">
        <v>84</v>
      </c>
      <c r="B9" s="1" t="n">
        <v>5362</v>
      </c>
      <c r="C9" s="8" t="n">
        <v>45545</v>
      </c>
      <c r="D9" s="1"/>
      <c r="E9" s="1" t="s">
        <v>12</v>
      </c>
      <c r="F9" s="1" t="n">
        <v>3500</v>
      </c>
    </row>
    <row r="10" customFormat="false" ht="15.75" hidden="false" customHeight="false" outlineLevel="0" collapsed="false">
      <c r="A10" s="1" t="s">
        <v>15</v>
      </c>
      <c r="B10" s="1" t="n">
        <v>2250</v>
      </c>
      <c r="C10" s="8" t="n">
        <v>45545</v>
      </c>
      <c r="D10" s="1"/>
      <c r="E10" s="1" t="s">
        <v>14</v>
      </c>
      <c r="F10" s="1" t="n">
        <v>3500</v>
      </c>
    </row>
    <row r="11" customFormat="false" ht="15.75" hidden="false" customHeight="false" outlineLevel="0" collapsed="false">
      <c r="A11" s="1" t="s">
        <v>60</v>
      </c>
      <c r="B11" s="1" t="n">
        <v>4000</v>
      </c>
      <c r="C11" s="8" t="n">
        <v>45545</v>
      </c>
      <c r="D11" s="1"/>
      <c r="E11" s="1" t="s">
        <v>16</v>
      </c>
      <c r="F11" s="1" t="n">
        <v>3500</v>
      </c>
    </row>
    <row r="12" customFormat="false" ht="15.75" hidden="false" customHeight="false" outlineLevel="0" collapsed="false">
      <c r="A12" s="1" t="s">
        <v>24</v>
      </c>
      <c r="B12" s="1" t="n">
        <v>2000</v>
      </c>
      <c r="C12" s="8" t="n">
        <v>45548</v>
      </c>
      <c r="D12" s="1"/>
      <c r="E12" s="1" t="s">
        <v>138</v>
      </c>
    </row>
    <row r="13" customFormat="false" ht="15.75" hidden="false" customHeight="false" outlineLevel="0" collapsed="false">
      <c r="A13" s="1" t="s">
        <v>280</v>
      </c>
      <c r="B13" s="1" t="n">
        <v>500</v>
      </c>
      <c r="C13" s="8" t="n">
        <v>45549</v>
      </c>
      <c r="D13" s="1"/>
      <c r="E13" s="1" t="s">
        <v>18</v>
      </c>
      <c r="F13" s="4" t="n">
        <f aca="false">SUM(F4:F12)</f>
        <v>28000</v>
      </c>
    </row>
    <row r="14" customFormat="false" ht="15.75" hidden="false" customHeight="false" outlineLevel="0" collapsed="false">
      <c r="A14" s="1" t="s">
        <v>207</v>
      </c>
      <c r="C14" s="8"/>
      <c r="D14" s="1"/>
      <c r="E14" s="1"/>
    </row>
    <row r="15" customFormat="false" ht="15.75" hidden="false" customHeight="false" outlineLevel="0" collapsed="false">
      <c r="A15" s="1" t="s">
        <v>268</v>
      </c>
      <c r="C15" s="8"/>
      <c r="D15" s="1"/>
      <c r="E15" s="1"/>
      <c r="F15" s="1"/>
    </row>
    <row r="16" customFormat="false" ht="15.75" hidden="false" customHeight="false" outlineLevel="0" collapsed="false">
      <c r="A16" s="1" t="s">
        <v>60</v>
      </c>
      <c r="B16" s="1" t="n">
        <v>2000</v>
      </c>
      <c r="C16" s="8" t="n">
        <v>45561</v>
      </c>
      <c r="D16" s="1"/>
      <c r="E16" s="1"/>
      <c r="F16" s="1"/>
    </row>
    <row r="17" customFormat="false" ht="15.75" hidden="false" customHeight="false" outlineLevel="0" collapsed="false">
      <c r="C17" s="8"/>
      <c r="D17" s="1"/>
      <c r="E17" s="1" t="s">
        <v>64</v>
      </c>
      <c r="F17" s="1" t="n">
        <v>0</v>
      </c>
    </row>
    <row r="18" customFormat="false" ht="15.75" hidden="false" customHeight="false" outlineLevel="0" collapsed="false">
      <c r="A18" s="1" t="s">
        <v>18</v>
      </c>
      <c r="B18" s="4" t="n">
        <f aca="false">SUM(B5:B17)</f>
        <v>28812</v>
      </c>
      <c r="D18" s="1"/>
      <c r="E18" s="1" t="s">
        <v>130</v>
      </c>
      <c r="F18" s="13" t="n">
        <f aca="false">B2+F13-B18</f>
        <v>13911.15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.51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6" t="n">
        <f aca="false">'Sept 2024'!F18</f>
        <v>13911.15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1" t="n">
        <v>3500</v>
      </c>
    </row>
    <row r="5" customFormat="false" ht="15.75" hidden="false" customHeight="false" outlineLevel="0" collapsed="false">
      <c r="A5" s="1" t="s">
        <v>126</v>
      </c>
      <c r="B5" s="1" t="n">
        <v>7500</v>
      </c>
      <c r="C5" s="8" t="n">
        <v>45566</v>
      </c>
      <c r="D5" s="1"/>
      <c r="E5" s="1" t="s">
        <v>4</v>
      </c>
      <c r="F5" s="1" t="n">
        <v>3500</v>
      </c>
    </row>
    <row r="6" customFormat="false" ht="15.75" hidden="false" customHeight="false" outlineLevel="0" collapsed="false">
      <c r="A6" s="1" t="s">
        <v>156</v>
      </c>
      <c r="B6" s="1"/>
      <c r="C6" s="8"/>
      <c r="D6" s="1"/>
      <c r="E6" s="1" t="s">
        <v>6</v>
      </c>
      <c r="F6" s="1" t="n">
        <v>3500</v>
      </c>
    </row>
    <row r="7" customFormat="false" ht="15.75" hidden="false" customHeight="false" outlineLevel="0" collapsed="false">
      <c r="A7" s="1" t="s">
        <v>280</v>
      </c>
      <c r="B7" s="1"/>
      <c r="C7" s="8"/>
      <c r="D7" s="1"/>
      <c r="E7" s="1" t="s">
        <v>8</v>
      </c>
      <c r="F7" s="1" t="n">
        <v>3500</v>
      </c>
    </row>
    <row r="8" customFormat="false" ht="15.75" hidden="false" customHeight="false" outlineLevel="0" collapsed="false">
      <c r="A8" s="1" t="s">
        <v>281</v>
      </c>
      <c r="B8" s="1" t="n">
        <v>499</v>
      </c>
      <c r="C8" s="8" t="n">
        <v>45572</v>
      </c>
      <c r="D8" s="1"/>
      <c r="E8" s="1" t="s">
        <v>10</v>
      </c>
      <c r="F8" s="1" t="n">
        <v>3500</v>
      </c>
    </row>
    <row r="9" customFormat="false" ht="15.75" hidden="false" customHeight="false" outlineLevel="0" collapsed="false">
      <c r="A9" s="1" t="s">
        <v>84</v>
      </c>
      <c r="B9" s="1" t="n">
        <v>4699</v>
      </c>
      <c r="C9" s="8" t="n">
        <v>45573</v>
      </c>
      <c r="D9" s="1"/>
      <c r="E9" s="1" t="s">
        <v>12</v>
      </c>
      <c r="F9" s="1" t="n">
        <v>3500</v>
      </c>
    </row>
    <row r="10" customFormat="false" ht="15.75" hidden="false" customHeight="false" outlineLevel="0" collapsed="false">
      <c r="A10" s="1" t="s">
        <v>15</v>
      </c>
      <c r="B10" s="1" t="n">
        <v>2382</v>
      </c>
      <c r="C10" s="8" t="n">
        <v>45573</v>
      </c>
      <c r="D10" s="1"/>
      <c r="E10" s="1" t="s">
        <v>14</v>
      </c>
      <c r="F10" s="1" t="n">
        <v>3500</v>
      </c>
    </row>
    <row r="11" customFormat="false" ht="15.75" hidden="false" customHeight="false" outlineLevel="0" collapsed="false">
      <c r="A11" s="1" t="s">
        <v>60</v>
      </c>
      <c r="B11" s="1" t="n">
        <v>1000</v>
      </c>
      <c r="C11" s="8" t="n">
        <v>45584</v>
      </c>
      <c r="D11" s="1"/>
      <c r="E11" s="1" t="s">
        <v>16</v>
      </c>
      <c r="F11" s="1" t="n">
        <v>3500</v>
      </c>
    </row>
    <row r="12" customFormat="false" ht="15.75" hidden="false" customHeight="false" outlineLevel="0" collapsed="false">
      <c r="A12" s="1" t="s">
        <v>60</v>
      </c>
      <c r="B12" s="1" t="n">
        <v>2000</v>
      </c>
      <c r="C12" s="8" t="n">
        <v>45589</v>
      </c>
      <c r="D12" s="1"/>
      <c r="E12" s="1" t="s">
        <v>138</v>
      </c>
      <c r="F12" s="1" t="n">
        <v>127</v>
      </c>
    </row>
    <row r="13" customFormat="false" ht="15.75" hidden="false" customHeight="false" outlineLevel="0" collapsed="false">
      <c r="A13" s="1" t="s">
        <v>60</v>
      </c>
      <c r="B13" s="1" t="n">
        <v>2000</v>
      </c>
      <c r="C13" s="8" t="n">
        <v>45590</v>
      </c>
      <c r="D13" s="1"/>
      <c r="E13" s="1" t="s">
        <v>18</v>
      </c>
      <c r="F13" s="4" t="n">
        <f aca="false">SUM(F4:F12)</f>
        <v>28127</v>
      </c>
    </row>
    <row r="14" customFormat="false" ht="15.75" hidden="false" customHeight="false" outlineLevel="0" collapsed="false">
      <c r="A14" s="1" t="s">
        <v>207</v>
      </c>
      <c r="C14" s="8"/>
      <c r="D14" s="1"/>
      <c r="E14" s="1"/>
    </row>
    <row r="15" customFormat="false" ht="15.75" hidden="false" customHeight="false" outlineLevel="0" collapsed="false">
      <c r="A15" s="1" t="s">
        <v>268</v>
      </c>
      <c r="C15" s="8"/>
      <c r="D15" s="1"/>
      <c r="E15" s="1"/>
      <c r="F15" s="1"/>
    </row>
    <row r="16" customFormat="false" ht="15.75" hidden="false" customHeight="false" outlineLevel="0" collapsed="false">
      <c r="A16" s="1" t="s">
        <v>60</v>
      </c>
      <c r="C16" s="8"/>
      <c r="D16" s="1"/>
      <c r="E16" s="1"/>
      <c r="F16" s="1"/>
    </row>
    <row r="17" customFormat="false" ht="15.75" hidden="false" customHeight="false" outlineLevel="0" collapsed="false">
      <c r="C17" s="8"/>
      <c r="D17" s="1"/>
      <c r="E17" s="1" t="s">
        <v>64</v>
      </c>
      <c r="F17" s="1" t="n">
        <v>0</v>
      </c>
    </row>
    <row r="18" customFormat="false" ht="15.75" hidden="false" customHeight="false" outlineLevel="0" collapsed="false">
      <c r="A18" s="1" t="s">
        <v>18</v>
      </c>
      <c r="B18" s="4" t="n">
        <f aca="false">SUM(B5:B17)</f>
        <v>20080</v>
      </c>
      <c r="D18" s="1"/>
      <c r="E18" s="1" t="s">
        <v>130</v>
      </c>
      <c r="F18" s="13" t="n">
        <f aca="false">B2+F13-B18</f>
        <v>21958.15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.51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6" t="n">
        <f aca="false">'Oct 2024'!F18</f>
        <v>21958.15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20" t="n">
        <v>3500</v>
      </c>
    </row>
    <row r="5" customFormat="false" ht="15.75" hidden="false" customHeight="false" outlineLevel="0" collapsed="false">
      <c r="A5" s="1" t="s">
        <v>126</v>
      </c>
      <c r="B5" s="1" t="n">
        <v>8500</v>
      </c>
      <c r="C5" s="8" t="n">
        <v>45597</v>
      </c>
      <c r="D5" s="1"/>
      <c r="E5" s="1" t="s">
        <v>4</v>
      </c>
      <c r="F5" s="20" t="n">
        <v>3500</v>
      </c>
    </row>
    <row r="6" customFormat="false" ht="15.75" hidden="false" customHeight="false" outlineLevel="0" collapsed="false">
      <c r="A6" s="1" t="s">
        <v>72</v>
      </c>
      <c r="B6" s="1" t="n">
        <v>500</v>
      </c>
      <c r="C6" s="8" t="n">
        <v>45602</v>
      </c>
      <c r="D6" s="1"/>
      <c r="E6" s="1" t="s">
        <v>6</v>
      </c>
      <c r="F6" s="20" t="n">
        <v>3500</v>
      </c>
    </row>
    <row r="7" customFormat="false" ht="15.75" hidden="false" customHeight="false" outlineLevel="0" collapsed="false">
      <c r="A7" s="1" t="s">
        <v>282</v>
      </c>
      <c r="B7" s="1" t="n">
        <v>15000</v>
      </c>
      <c r="C7" s="8" t="n">
        <v>45599</v>
      </c>
      <c r="D7" s="1"/>
      <c r="E7" s="1" t="s">
        <v>8</v>
      </c>
      <c r="F7" s="20" t="n">
        <v>3500</v>
      </c>
    </row>
    <row r="8" customFormat="false" ht="15.75" hidden="false" customHeight="false" outlineLevel="0" collapsed="false">
      <c r="A8" s="1" t="s">
        <v>283</v>
      </c>
      <c r="B8" s="1" t="n">
        <v>1000</v>
      </c>
      <c r="C8" s="8" t="n">
        <v>45602</v>
      </c>
      <c r="D8" s="1"/>
      <c r="E8" s="1" t="s">
        <v>10</v>
      </c>
      <c r="F8" s="20" t="n">
        <v>3500</v>
      </c>
    </row>
    <row r="9" customFormat="false" ht="15.75" hidden="false" customHeight="false" outlineLevel="0" collapsed="false">
      <c r="A9" s="1" t="s">
        <v>84</v>
      </c>
      <c r="B9" s="1" t="n">
        <v>4407</v>
      </c>
      <c r="C9" s="8" t="n">
        <v>45602</v>
      </c>
      <c r="D9" s="1"/>
      <c r="E9" s="1" t="s">
        <v>12</v>
      </c>
      <c r="F9" s="20" t="n">
        <v>3500</v>
      </c>
    </row>
    <row r="10" customFormat="false" ht="15.75" hidden="false" customHeight="false" outlineLevel="0" collapsed="false">
      <c r="A10" s="1" t="s">
        <v>15</v>
      </c>
      <c r="B10" s="1" t="n">
        <v>2140</v>
      </c>
      <c r="C10" s="8" t="n">
        <v>45605</v>
      </c>
      <c r="D10" s="1"/>
      <c r="E10" s="1" t="s">
        <v>14</v>
      </c>
      <c r="F10" s="20" t="n">
        <v>3500</v>
      </c>
    </row>
    <row r="11" customFormat="false" ht="15.75" hidden="false" customHeight="false" outlineLevel="0" collapsed="false">
      <c r="A11" s="1" t="s">
        <v>284</v>
      </c>
      <c r="B11" s="1" t="n">
        <v>713</v>
      </c>
      <c r="C11" s="8" t="n">
        <v>45606</v>
      </c>
      <c r="D11" s="1"/>
      <c r="E11" s="1" t="s">
        <v>16</v>
      </c>
      <c r="F11" s="20" t="n">
        <v>3500</v>
      </c>
    </row>
    <row r="12" customFormat="false" ht="15.75" hidden="false" customHeight="false" outlineLevel="0" collapsed="false">
      <c r="A12" s="1" t="s">
        <v>285</v>
      </c>
      <c r="B12" s="1" t="n">
        <v>1770</v>
      </c>
      <c r="C12" s="8" t="n">
        <v>45610</v>
      </c>
      <c r="D12" s="1"/>
      <c r="E12" s="1" t="s">
        <v>138</v>
      </c>
    </row>
    <row r="13" customFormat="false" ht="15.75" hidden="false" customHeight="false" outlineLevel="0" collapsed="false">
      <c r="A13" s="1" t="s">
        <v>24</v>
      </c>
      <c r="B13" s="1" t="n">
        <v>2000</v>
      </c>
      <c r="C13" s="8" t="n">
        <v>45610</v>
      </c>
      <c r="D13" s="1"/>
      <c r="E13" s="1" t="s">
        <v>18</v>
      </c>
      <c r="F13" s="4" t="n">
        <f aca="false">SUM(F4:F12)</f>
        <v>28000</v>
      </c>
    </row>
    <row r="14" customFormat="false" ht="15.75" hidden="false" customHeight="false" outlineLevel="0" collapsed="false">
      <c r="A14" s="1" t="s">
        <v>60</v>
      </c>
      <c r="B14" s="1" t="n">
        <v>2000</v>
      </c>
      <c r="C14" s="8" t="n">
        <v>45613</v>
      </c>
      <c r="D14" s="1"/>
      <c r="E14" s="1"/>
    </row>
    <row r="15" customFormat="false" ht="15.75" hidden="false" customHeight="false" outlineLevel="0" collapsed="false">
      <c r="A15" s="1" t="s">
        <v>60</v>
      </c>
      <c r="B15" s="1" t="n">
        <v>5000</v>
      </c>
      <c r="C15" s="8" t="n">
        <v>45617</v>
      </c>
      <c r="D15" s="1"/>
      <c r="E15" s="1"/>
      <c r="F15" s="1"/>
    </row>
    <row r="16" customFormat="false" ht="15.75" hidden="false" customHeight="false" outlineLevel="0" collapsed="false">
      <c r="A16" s="1" t="s">
        <v>60</v>
      </c>
      <c r="C16" s="8"/>
      <c r="D16" s="1"/>
      <c r="E16" s="1"/>
      <c r="F16" s="1"/>
    </row>
    <row r="17" customFormat="false" ht="15.75" hidden="false" customHeight="false" outlineLevel="0" collapsed="false">
      <c r="C17" s="8"/>
      <c r="D17" s="1"/>
      <c r="E17" s="1" t="s">
        <v>64</v>
      </c>
      <c r="F17" s="1" t="n">
        <v>0</v>
      </c>
    </row>
    <row r="18" customFormat="false" ht="15.75" hidden="false" customHeight="false" outlineLevel="0" collapsed="false">
      <c r="A18" s="1" t="s">
        <v>18</v>
      </c>
      <c r="B18" s="4" t="n">
        <f aca="false">SUM(B5:B17)</f>
        <v>43030</v>
      </c>
      <c r="D18" s="1"/>
      <c r="E18" s="1" t="s">
        <v>130</v>
      </c>
      <c r="F18" s="13" t="n">
        <f aca="false">B2+F13-B18</f>
        <v>6928.15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.51"/>
    <col collapsed="false" customWidth="true" hidden="false" outlineLevel="0" max="5" min="5" style="0" width="14.01"/>
  </cols>
  <sheetData>
    <row r="1" customFormat="false" ht="15.75" hidden="false" customHeight="false" outlineLevel="0" collapsed="false">
      <c r="A1" s="1" t="s">
        <v>22</v>
      </c>
      <c r="B1" s="9"/>
    </row>
    <row r="2" customFormat="false" ht="15.75" hidden="false" customHeight="false" outlineLevel="0" collapsed="false">
      <c r="A2" s="1" t="s">
        <v>141</v>
      </c>
      <c r="B2" s="16" t="n">
        <f aca="false">'Nov 2024'!F18</f>
        <v>6928.15</v>
      </c>
      <c r="C2" s="1"/>
    </row>
    <row r="3" customFormat="false" ht="15.75" hidden="false" customHeight="false" outlineLevel="0" collapsed="false">
      <c r="A3" s="1"/>
      <c r="C3" s="1" t="s">
        <v>47</v>
      </c>
    </row>
    <row r="4" customFormat="false" ht="15.75" hidden="false" customHeight="false" outlineLevel="0" collapsed="false">
      <c r="B4" s="1"/>
      <c r="C4" s="7"/>
      <c r="D4" s="1"/>
      <c r="E4" s="1" t="s">
        <v>2</v>
      </c>
      <c r="F4" s="20" t="n">
        <f aca="false">3500+4000</f>
        <v>7500</v>
      </c>
    </row>
    <row r="5" customFormat="false" ht="15.75" hidden="false" customHeight="false" outlineLevel="0" collapsed="false">
      <c r="A5" s="1" t="s">
        <v>126</v>
      </c>
      <c r="B5" s="1" t="n">
        <v>6500</v>
      </c>
      <c r="C5" s="8" t="n">
        <v>45627</v>
      </c>
      <c r="D5" s="1"/>
      <c r="E5" s="1" t="s">
        <v>4</v>
      </c>
      <c r="F5" s="20" t="n">
        <f aca="false">3500+4000</f>
        <v>7500</v>
      </c>
    </row>
    <row r="6" customFormat="false" ht="15.75" hidden="false" customHeight="false" outlineLevel="0" collapsed="false">
      <c r="A6" s="1" t="s">
        <v>72</v>
      </c>
      <c r="B6" s="1" t="n">
        <v>500</v>
      </c>
      <c r="C6" s="8" t="n">
        <v>45632</v>
      </c>
      <c r="D6" s="1"/>
      <c r="E6" s="1" t="s">
        <v>6</v>
      </c>
      <c r="F6" s="20" t="n">
        <f aca="false">3500+4000</f>
        <v>7500</v>
      </c>
    </row>
    <row r="7" customFormat="false" ht="15.75" hidden="false" customHeight="false" outlineLevel="0" collapsed="false">
      <c r="A7" s="1" t="s">
        <v>285</v>
      </c>
      <c r="B7" s="1" t="n">
        <v>5000</v>
      </c>
      <c r="C7" s="8" t="n">
        <v>45629</v>
      </c>
      <c r="D7" s="1"/>
      <c r="E7" s="1" t="s">
        <v>8</v>
      </c>
      <c r="F7" s="20" t="n">
        <f aca="false">3500+4000</f>
        <v>7500</v>
      </c>
    </row>
    <row r="8" customFormat="false" ht="15.75" hidden="false" customHeight="false" outlineLevel="0" collapsed="false">
      <c r="A8" s="1" t="s">
        <v>84</v>
      </c>
      <c r="B8" s="1" t="n">
        <v>4113</v>
      </c>
      <c r="C8" s="8" t="n">
        <v>45632</v>
      </c>
      <c r="D8" s="1"/>
      <c r="E8" s="1" t="s">
        <v>10</v>
      </c>
      <c r="F8" s="20"/>
    </row>
    <row r="9" customFormat="false" ht="15.75" hidden="false" customHeight="false" outlineLevel="0" collapsed="false">
      <c r="A9" s="1" t="s">
        <v>15</v>
      </c>
      <c r="B9" s="1" t="n">
        <v>2668</v>
      </c>
      <c r="C9" s="8" t="n">
        <v>45633</v>
      </c>
      <c r="D9" s="1"/>
      <c r="E9" s="1" t="s">
        <v>12</v>
      </c>
      <c r="F9" s="20" t="n">
        <f aca="false">3500+4000</f>
        <v>7500</v>
      </c>
    </row>
    <row r="10" customFormat="false" ht="15.75" hidden="false" customHeight="false" outlineLevel="0" collapsed="false">
      <c r="B10" s="1" t="n">
        <v>380</v>
      </c>
      <c r="C10" s="8" t="n">
        <v>45640</v>
      </c>
      <c r="D10" s="1"/>
      <c r="E10" s="1" t="s">
        <v>14</v>
      </c>
      <c r="F10" s="20" t="n">
        <f aca="false">3500+4000</f>
        <v>7500</v>
      </c>
    </row>
    <row r="11" customFormat="false" ht="15.75" hidden="false" customHeight="false" outlineLevel="0" collapsed="false">
      <c r="A11" s="1" t="s">
        <v>180</v>
      </c>
      <c r="B11" s="1" t="n">
        <v>11000</v>
      </c>
      <c r="C11" s="8" t="n">
        <v>45640</v>
      </c>
      <c r="D11" s="1"/>
      <c r="E11" s="1" t="s">
        <v>16</v>
      </c>
      <c r="F11" s="20" t="n">
        <f aca="false">3500+4000</f>
        <v>7500</v>
      </c>
    </row>
    <row r="12" customFormat="false" ht="15.75" hidden="false" customHeight="false" outlineLevel="0" collapsed="false">
      <c r="A12" s="1" t="s">
        <v>286</v>
      </c>
      <c r="B12" s="1" t="n">
        <v>1700</v>
      </c>
      <c r="C12" s="8" t="n">
        <v>45641</v>
      </c>
      <c r="D12" s="1"/>
      <c r="E12" s="1" t="s">
        <v>138</v>
      </c>
      <c r="F12" s="1" t="n">
        <v>150</v>
      </c>
    </row>
    <row r="13" customFormat="false" ht="15.75" hidden="false" customHeight="false" outlineLevel="0" collapsed="false">
      <c r="A13" s="1" t="s">
        <v>60</v>
      </c>
      <c r="B13" s="1" t="n">
        <v>10000</v>
      </c>
      <c r="C13" s="8" t="n">
        <v>45651</v>
      </c>
      <c r="D13" s="1"/>
      <c r="E13" s="1" t="s">
        <v>18</v>
      </c>
      <c r="F13" s="4" t="n">
        <f aca="false">SUM(F4:F12)</f>
        <v>52650</v>
      </c>
    </row>
    <row r="14" customFormat="false" ht="15.75" hidden="false" customHeight="false" outlineLevel="0" collapsed="false">
      <c r="A14" s="1" t="s">
        <v>60</v>
      </c>
      <c r="B14" s="1" t="n">
        <v>2000</v>
      </c>
      <c r="C14" s="8" t="n">
        <v>45651</v>
      </c>
      <c r="D14" s="1"/>
      <c r="E14" s="1"/>
    </row>
    <row r="15" customFormat="false" ht="15.75" hidden="false" customHeight="false" outlineLevel="0" collapsed="false">
      <c r="A15" s="1" t="s">
        <v>60</v>
      </c>
      <c r="B15" s="1" t="n">
        <v>1500</v>
      </c>
      <c r="C15" s="8" t="s">
        <v>287</v>
      </c>
      <c r="D15" s="1"/>
      <c r="E15" s="1"/>
      <c r="F15" s="1"/>
    </row>
    <row r="16" customFormat="false" ht="15.75" hidden="false" customHeight="false" outlineLevel="0" collapsed="false">
      <c r="A16" s="1" t="s">
        <v>60</v>
      </c>
      <c r="C16" s="8"/>
      <c r="D16" s="1"/>
      <c r="E16" s="1"/>
      <c r="F16" s="1"/>
    </row>
    <row r="17" customFormat="false" ht="15.75" hidden="false" customHeight="false" outlineLevel="0" collapsed="false">
      <c r="C17" s="8"/>
      <c r="D17" s="1"/>
      <c r="E17" s="1" t="s">
        <v>64</v>
      </c>
      <c r="F17" s="1" t="n">
        <v>0</v>
      </c>
    </row>
    <row r="18" customFormat="false" ht="15.75" hidden="false" customHeight="false" outlineLevel="0" collapsed="false">
      <c r="A18" s="1" t="s">
        <v>18</v>
      </c>
      <c r="B18" s="4" t="n">
        <f aca="false">SUM(B5:B17)</f>
        <v>45361</v>
      </c>
      <c r="D18" s="1"/>
      <c r="E18" s="1" t="s">
        <v>130</v>
      </c>
      <c r="F18" s="13" t="n">
        <f aca="false">B2+F13-B18</f>
        <v>14217.15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2.75"/>
  </cols>
  <sheetData>
    <row r="1" customFormat="false" ht="15.75" hidden="false" customHeight="false" outlineLevel="0" collapsed="false">
      <c r="A1" s="1" t="s">
        <v>2</v>
      </c>
      <c r="B1" s="1" t="n">
        <v>5000</v>
      </c>
      <c r="C1" s="1"/>
    </row>
    <row r="2" customFormat="false" ht="15.75" hidden="false" customHeight="false" outlineLevel="0" collapsed="false">
      <c r="A2" s="1" t="s">
        <v>4</v>
      </c>
      <c r="B2" s="1" t="n">
        <v>5000</v>
      </c>
      <c r="C2" s="1"/>
    </row>
    <row r="3" customFormat="false" ht="15.75" hidden="false" customHeight="false" outlineLevel="0" collapsed="false">
      <c r="A3" s="1" t="s">
        <v>6</v>
      </c>
      <c r="B3" s="1" t="n">
        <v>5000</v>
      </c>
      <c r="C3" s="1"/>
    </row>
    <row r="4" customFormat="false" ht="15.75" hidden="false" customHeight="false" outlineLevel="0" collapsed="false">
      <c r="A4" s="1" t="s">
        <v>8</v>
      </c>
      <c r="B4" s="1" t="n">
        <v>5000</v>
      </c>
      <c r="C4" s="1"/>
    </row>
    <row r="5" customFormat="false" ht="15.75" hidden="false" customHeight="false" outlineLevel="0" collapsed="false">
      <c r="A5" s="1" t="s">
        <v>10</v>
      </c>
      <c r="B5" s="1" t="n">
        <v>5000</v>
      </c>
      <c r="C5" s="1"/>
    </row>
    <row r="6" customFormat="false" ht="15.75" hidden="false" customHeight="false" outlineLevel="0" collapsed="false">
      <c r="A6" s="1" t="s">
        <v>12</v>
      </c>
      <c r="B6" s="1" t="n">
        <v>5000</v>
      </c>
      <c r="C6" s="1"/>
    </row>
    <row r="7" customFormat="false" ht="15.75" hidden="false" customHeight="false" outlineLevel="0" collapsed="false">
      <c r="A7" s="1" t="s">
        <v>14</v>
      </c>
      <c r="B7" s="1" t="n">
        <v>5000</v>
      </c>
      <c r="C7" s="1"/>
    </row>
    <row r="8" customFormat="false" ht="15.75" hidden="false" customHeight="false" outlineLevel="0" collapsed="false">
      <c r="A8" s="1" t="s">
        <v>16</v>
      </c>
      <c r="B8" s="1" t="n">
        <v>5000</v>
      </c>
      <c r="C8" s="1"/>
    </row>
    <row r="9" customFormat="false" ht="15.75" hidden="false" customHeight="false" outlineLevel="0" collapsed="false">
      <c r="B9" s="4" t="n">
        <f aca="false">SUM(B1:B8)</f>
        <v>40000</v>
      </c>
    </row>
    <row r="11" customFormat="false" ht="15.75" hidden="false" customHeight="false" outlineLevel="0" collapsed="false">
      <c r="A11" s="1" t="s">
        <v>288</v>
      </c>
      <c r="B11" s="1" t="n">
        <v>11000</v>
      </c>
      <c r="C11" s="1"/>
    </row>
    <row r="12" customFormat="false" ht="15.75" hidden="false" customHeight="false" outlineLevel="0" collapsed="false">
      <c r="A12" s="1" t="s">
        <v>289</v>
      </c>
      <c r="B12" s="1" t="n">
        <v>11000</v>
      </c>
      <c r="C12" s="1" t="s">
        <v>210</v>
      </c>
    </row>
    <row r="13" customFormat="false" ht="15.75" hidden="false" customHeight="false" outlineLevel="0" collapsed="false">
      <c r="A13" s="1"/>
    </row>
    <row r="14" customFormat="false" ht="15.75" hidden="false" customHeight="false" outlineLevel="0" collapsed="false">
      <c r="A14" s="1" t="s">
        <v>290</v>
      </c>
      <c r="B14" s="1" t="n">
        <v>13500</v>
      </c>
      <c r="D14" s="1"/>
    </row>
    <row r="15" customFormat="false" ht="15.75" hidden="false" customHeight="false" outlineLevel="0" collapsed="false">
      <c r="A15" s="1"/>
      <c r="D15" s="1"/>
    </row>
    <row r="18" customFormat="false" ht="15.75" hidden="false" customHeight="false" outlineLevel="0" collapsed="false">
      <c r="A18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2026-06-28T10:27:04Z</dcterms:modified>
  <cp:revision>1</cp:revision>
  <dc:subject/>
  <dc:title/>
</cp:coreProperties>
</file>